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Lieu" sheetId="1" state="visible" r:id="rId1"/>
    <sheet name="PhanTic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1" fillId="0" borderId="0" pivotButton="0" quotePrefix="0" xfId="0"/>
    <xf numFmtId="164" fontId="1" fillId="3" borderId="0" pivotButton="0" quotePrefix="0" xfId="0"/>
    <xf numFmtId="0" fontId="1" fillId="0" borderId="1" pivotButton="0" quotePrefix="0" xfId="0"/>
    <xf numFmtId="0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FFC7CE"/>
        </patternFill>
      </fill>
    </dxf>
    <dxf>
      <fill>
        <patternFill patternType="solid">
          <fgColor rgb="00E2EFD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</cols>
  <sheetData>
    <row r="1">
      <c r="A1" s="1" t="inlineStr">
        <is>
          <t>STT</t>
        </is>
      </c>
      <c r="B1" s="1" t="inlineStr">
        <is>
          <t>Thời gian trả lời</t>
        </is>
      </c>
      <c r="C1" s="1" t="inlineStr">
        <is>
          <t>Giới tính</t>
        </is>
      </c>
      <c r="D1" s="1" t="inlineStr">
        <is>
          <t>Nghề nghiệp</t>
        </is>
      </c>
      <c r="E1" s="1" t="inlineStr">
        <is>
          <t>C1</t>
        </is>
      </c>
      <c r="F1" s="1" t="inlineStr">
        <is>
          <t>C2</t>
        </is>
      </c>
      <c r="G1" s="1" t="inlineStr">
        <is>
          <t>C3</t>
        </is>
      </c>
      <c r="H1" s="1" t="inlineStr">
        <is>
          <t>C4</t>
        </is>
      </c>
      <c r="I1" s="1" t="inlineStr">
        <is>
          <t>C5</t>
        </is>
      </c>
      <c r="J1" s="1" t="inlineStr">
        <is>
          <t>C6</t>
        </is>
      </c>
      <c r="K1" s="1" t="inlineStr">
        <is>
          <t>C7</t>
        </is>
      </c>
      <c r="L1" s="1" t="inlineStr">
        <is>
          <t>C8</t>
        </is>
      </c>
      <c r="M1" s="1" t="inlineStr">
        <is>
          <t>C9</t>
        </is>
      </c>
      <c r="N1" s="1" t="inlineStr">
        <is>
          <t>C10</t>
        </is>
      </c>
      <c r="O1" s="1" t="inlineStr">
        <is>
          <t>C11</t>
        </is>
      </c>
      <c r="P1" s="1" t="inlineStr">
        <is>
          <t>C12</t>
        </is>
      </c>
    </row>
    <row r="2">
      <c r="A2" t="inlineStr"/>
    </row>
    <row r="503">
      <c r="A503" s="2" t="inlineStr">
        <is>
          <t>Dán dữ liệu export từ Google Form từ dòng 2. Cột C1..C12 là điểm Likert 1-5 của từng tiêu chí (đổi tên cột khớp thứ tự câu hỏi trong Form).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>
      <c r="A1" s="3" t="inlineStr">
        <is>
          <t>Ngưỡng giữ tiêu chí (chỉnh được):</t>
        </is>
      </c>
      <c r="C1" s="4" t="n">
        <v>3.5</v>
      </c>
    </row>
    <row r="2">
      <c r="A2" s="2" t="inlineStr">
        <is>
          <t>Tiêu chí có Mean ≥ ngưỡng thì GIỮ, ngược lại LOẠI. Ngưỡng phải kèm nguồn trích dẫn trong báo cáo (task T3.6).</t>
        </is>
      </c>
    </row>
    <row r="4">
      <c r="A4" s="1" t="inlineStr">
        <is>
          <t>Mã</t>
        </is>
      </c>
      <c r="B4" s="1" t="inlineStr">
        <is>
          <t>Tên tiêu chí (điền tay)</t>
        </is>
      </c>
      <c r="C4" s="1" t="inlineStr">
        <is>
          <t>N</t>
        </is>
      </c>
      <c r="D4" s="1" t="inlineStr">
        <is>
          <t>Mean</t>
        </is>
      </c>
      <c r="E4" s="1" t="inlineStr">
        <is>
          <t>SD</t>
        </is>
      </c>
      <c r="F4" s="1" t="inlineStr">
        <is>
          <t>Điểm 1</t>
        </is>
      </c>
      <c r="G4" s="1" t="inlineStr">
        <is>
          <t>Điểm 2</t>
        </is>
      </c>
      <c r="H4" s="1" t="inlineStr">
        <is>
          <t>Điểm 3</t>
        </is>
      </c>
      <c r="I4" s="1" t="inlineStr">
        <is>
          <t>Điểm 4</t>
        </is>
      </c>
      <c r="J4" s="1" t="inlineStr">
        <is>
          <t>Điểm 5</t>
        </is>
      </c>
      <c r="K4" s="1" t="inlineStr">
        <is>
          <t>Kết luận</t>
        </is>
      </c>
    </row>
    <row r="5">
      <c r="A5" s="5" t="inlineStr">
        <is>
          <t>C1</t>
        </is>
      </c>
      <c r="B5" s="6" t="inlineStr"/>
      <c r="C5" s="6">
        <f>COUNT(DuLieu!E2:E501)</f>
        <v/>
      </c>
      <c r="D5" s="7">
        <f>IFERROR(AVERAGE(DuLieu!E2:E501),"")</f>
        <v/>
      </c>
      <c r="E5" s="7">
        <f>IFERROR(STDEV.S(DuLieu!E2:E501),"")</f>
        <v/>
      </c>
      <c r="F5" s="6">
        <f>COUNTIF(DuLieu!E2:E501,1)</f>
        <v/>
      </c>
      <c r="G5" s="6">
        <f>COUNTIF(DuLieu!E2:E501,2)</f>
        <v/>
      </c>
      <c r="H5" s="6">
        <f>COUNTIF(DuLieu!E2:E501,3)</f>
        <v/>
      </c>
      <c r="I5" s="6">
        <f>COUNTIF(DuLieu!E2:E501,4)</f>
        <v/>
      </c>
      <c r="J5" s="6">
        <f>COUNTIF(DuLieu!E2:E501,5)</f>
        <v/>
      </c>
      <c r="K5" s="5">
        <f>IF(D5="","",IF(D5&gt;=$C$1,"GIỮ","LOẠI"))</f>
        <v/>
      </c>
    </row>
    <row r="6">
      <c r="A6" s="5" t="inlineStr">
        <is>
          <t>C2</t>
        </is>
      </c>
      <c r="B6" s="6" t="inlineStr"/>
      <c r="C6" s="6">
        <f>COUNT(DuLieu!F2:F501)</f>
        <v/>
      </c>
      <c r="D6" s="7">
        <f>IFERROR(AVERAGE(DuLieu!F2:F501),"")</f>
        <v/>
      </c>
      <c r="E6" s="7">
        <f>IFERROR(STDEV.S(DuLieu!F2:F501),"")</f>
        <v/>
      </c>
      <c r="F6" s="6">
        <f>COUNTIF(DuLieu!F2:F501,1)</f>
        <v/>
      </c>
      <c r="G6" s="6">
        <f>COUNTIF(DuLieu!F2:F501,2)</f>
        <v/>
      </c>
      <c r="H6" s="6">
        <f>COUNTIF(DuLieu!F2:F501,3)</f>
        <v/>
      </c>
      <c r="I6" s="6">
        <f>COUNTIF(DuLieu!F2:F501,4)</f>
        <v/>
      </c>
      <c r="J6" s="6">
        <f>COUNTIF(DuLieu!F2:F501,5)</f>
        <v/>
      </c>
      <c r="K6" s="5">
        <f>IF(D6="","",IF(D6&gt;=$C$1,"GIỮ","LOẠI"))</f>
        <v/>
      </c>
    </row>
    <row r="7">
      <c r="A7" s="5" t="inlineStr">
        <is>
          <t>C3</t>
        </is>
      </c>
      <c r="B7" s="6" t="inlineStr"/>
      <c r="C7" s="6">
        <f>COUNT(DuLieu!G2:G501)</f>
        <v/>
      </c>
      <c r="D7" s="7">
        <f>IFERROR(AVERAGE(DuLieu!G2:G501),"")</f>
        <v/>
      </c>
      <c r="E7" s="7">
        <f>IFERROR(STDEV.S(DuLieu!G2:G501),"")</f>
        <v/>
      </c>
      <c r="F7" s="6">
        <f>COUNTIF(DuLieu!G2:G501,1)</f>
        <v/>
      </c>
      <c r="G7" s="6">
        <f>COUNTIF(DuLieu!G2:G501,2)</f>
        <v/>
      </c>
      <c r="H7" s="6">
        <f>COUNTIF(DuLieu!G2:G501,3)</f>
        <v/>
      </c>
      <c r="I7" s="6">
        <f>COUNTIF(DuLieu!G2:G501,4)</f>
        <v/>
      </c>
      <c r="J7" s="6">
        <f>COUNTIF(DuLieu!G2:G501,5)</f>
        <v/>
      </c>
      <c r="K7" s="5">
        <f>IF(D7="","",IF(D7&gt;=$C$1,"GIỮ","LOẠI"))</f>
        <v/>
      </c>
    </row>
    <row r="8">
      <c r="A8" s="5" t="inlineStr">
        <is>
          <t>C4</t>
        </is>
      </c>
      <c r="B8" s="6" t="inlineStr"/>
      <c r="C8" s="6">
        <f>COUNT(DuLieu!H2:H501)</f>
        <v/>
      </c>
      <c r="D8" s="7">
        <f>IFERROR(AVERAGE(DuLieu!H2:H501),"")</f>
        <v/>
      </c>
      <c r="E8" s="7">
        <f>IFERROR(STDEV.S(DuLieu!H2:H501),"")</f>
        <v/>
      </c>
      <c r="F8" s="6">
        <f>COUNTIF(DuLieu!H2:H501,1)</f>
        <v/>
      </c>
      <c r="G8" s="6">
        <f>COUNTIF(DuLieu!H2:H501,2)</f>
        <v/>
      </c>
      <c r="H8" s="6">
        <f>COUNTIF(DuLieu!H2:H501,3)</f>
        <v/>
      </c>
      <c r="I8" s="6">
        <f>COUNTIF(DuLieu!H2:H501,4)</f>
        <v/>
      </c>
      <c r="J8" s="6">
        <f>COUNTIF(DuLieu!H2:H501,5)</f>
        <v/>
      </c>
      <c r="K8" s="5">
        <f>IF(D8="","",IF(D8&gt;=$C$1,"GIỮ","LOẠI"))</f>
        <v/>
      </c>
    </row>
    <row r="9">
      <c r="A9" s="5" t="inlineStr">
        <is>
          <t>C5</t>
        </is>
      </c>
      <c r="B9" s="6" t="inlineStr"/>
      <c r="C9" s="6">
        <f>COUNT(DuLieu!I2:I501)</f>
        <v/>
      </c>
      <c r="D9" s="7">
        <f>IFERROR(AVERAGE(DuLieu!I2:I501),"")</f>
        <v/>
      </c>
      <c r="E9" s="7">
        <f>IFERROR(STDEV.S(DuLieu!I2:I501),"")</f>
        <v/>
      </c>
      <c r="F9" s="6">
        <f>COUNTIF(DuLieu!I2:I501,1)</f>
        <v/>
      </c>
      <c r="G9" s="6">
        <f>COUNTIF(DuLieu!I2:I501,2)</f>
        <v/>
      </c>
      <c r="H9" s="6">
        <f>COUNTIF(DuLieu!I2:I501,3)</f>
        <v/>
      </c>
      <c r="I9" s="6">
        <f>COUNTIF(DuLieu!I2:I501,4)</f>
        <v/>
      </c>
      <c r="J9" s="6">
        <f>COUNTIF(DuLieu!I2:I501,5)</f>
        <v/>
      </c>
      <c r="K9" s="5">
        <f>IF(D9="","",IF(D9&gt;=$C$1,"GIỮ","LOẠI"))</f>
        <v/>
      </c>
    </row>
    <row r="10">
      <c r="A10" s="5" t="inlineStr">
        <is>
          <t>C6</t>
        </is>
      </c>
      <c r="B10" s="6" t="inlineStr"/>
      <c r="C10" s="6">
        <f>COUNT(DuLieu!J2:J501)</f>
        <v/>
      </c>
      <c r="D10" s="7">
        <f>IFERROR(AVERAGE(DuLieu!J2:J501),"")</f>
        <v/>
      </c>
      <c r="E10" s="7">
        <f>IFERROR(STDEV.S(DuLieu!J2:J501),"")</f>
        <v/>
      </c>
      <c r="F10" s="6">
        <f>COUNTIF(DuLieu!J2:J501,1)</f>
        <v/>
      </c>
      <c r="G10" s="6">
        <f>COUNTIF(DuLieu!J2:J501,2)</f>
        <v/>
      </c>
      <c r="H10" s="6">
        <f>COUNTIF(DuLieu!J2:J501,3)</f>
        <v/>
      </c>
      <c r="I10" s="6">
        <f>COUNTIF(DuLieu!J2:J501,4)</f>
        <v/>
      </c>
      <c r="J10" s="6">
        <f>COUNTIF(DuLieu!J2:J501,5)</f>
        <v/>
      </c>
      <c r="K10" s="5">
        <f>IF(D10="","",IF(D10&gt;=$C$1,"GIỮ","LOẠI"))</f>
        <v/>
      </c>
    </row>
    <row r="11">
      <c r="A11" s="5" t="inlineStr">
        <is>
          <t>C7</t>
        </is>
      </c>
      <c r="B11" s="6" t="inlineStr"/>
      <c r="C11" s="6">
        <f>COUNT(DuLieu!K2:K501)</f>
        <v/>
      </c>
      <c r="D11" s="7">
        <f>IFERROR(AVERAGE(DuLieu!K2:K501),"")</f>
        <v/>
      </c>
      <c r="E11" s="7">
        <f>IFERROR(STDEV.S(DuLieu!K2:K501),"")</f>
        <v/>
      </c>
      <c r="F11" s="6">
        <f>COUNTIF(DuLieu!K2:K501,1)</f>
        <v/>
      </c>
      <c r="G11" s="6">
        <f>COUNTIF(DuLieu!K2:K501,2)</f>
        <v/>
      </c>
      <c r="H11" s="6">
        <f>COUNTIF(DuLieu!K2:K501,3)</f>
        <v/>
      </c>
      <c r="I11" s="6">
        <f>COUNTIF(DuLieu!K2:K501,4)</f>
        <v/>
      </c>
      <c r="J11" s="6">
        <f>COUNTIF(DuLieu!K2:K501,5)</f>
        <v/>
      </c>
      <c r="K11" s="5">
        <f>IF(D11="","",IF(D11&gt;=$C$1,"GIỮ","LOẠI"))</f>
        <v/>
      </c>
    </row>
    <row r="12">
      <c r="A12" s="5" t="inlineStr">
        <is>
          <t>C8</t>
        </is>
      </c>
      <c r="B12" s="6" t="inlineStr"/>
      <c r="C12" s="6">
        <f>COUNT(DuLieu!L2:L501)</f>
        <v/>
      </c>
      <c r="D12" s="7">
        <f>IFERROR(AVERAGE(DuLieu!L2:L501),"")</f>
        <v/>
      </c>
      <c r="E12" s="7">
        <f>IFERROR(STDEV.S(DuLieu!L2:L501),"")</f>
        <v/>
      </c>
      <c r="F12" s="6">
        <f>COUNTIF(DuLieu!L2:L501,1)</f>
        <v/>
      </c>
      <c r="G12" s="6">
        <f>COUNTIF(DuLieu!L2:L501,2)</f>
        <v/>
      </c>
      <c r="H12" s="6">
        <f>COUNTIF(DuLieu!L2:L501,3)</f>
        <v/>
      </c>
      <c r="I12" s="6">
        <f>COUNTIF(DuLieu!L2:L501,4)</f>
        <v/>
      </c>
      <c r="J12" s="6">
        <f>COUNTIF(DuLieu!L2:L501,5)</f>
        <v/>
      </c>
      <c r="K12" s="5">
        <f>IF(D12="","",IF(D12&gt;=$C$1,"GIỮ","LOẠI"))</f>
        <v/>
      </c>
    </row>
    <row r="13">
      <c r="A13" s="5" t="inlineStr">
        <is>
          <t>C9</t>
        </is>
      </c>
      <c r="B13" s="6" t="inlineStr"/>
      <c r="C13" s="6">
        <f>COUNT(DuLieu!M2:M501)</f>
        <v/>
      </c>
      <c r="D13" s="7">
        <f>IFERROR(AVERAGE(DuLieu!M2:M501),"")</f>
        <v/>
      </c>
      <c r="E13" s="7">
        <f>IFERROR(STDEV.S(DuLieu!M2:M501),"")</f>
        <v/>
      </c>
      <c r="F13" s="6">
        <f>COUNTIF(DuLieu!M2:M501,1)</f>
        <v/>
      </c>
      <c r="G13" s="6">
        <f>COUNTIF(DuLieu!M2:M501,2)</f>
        <v/>
      </c>
      <c r="H13" s="6">
        <f>COUNTIF(DuLieu!M2:M501,3)</f>
        <v/>
      </c>
      <c r="I13" s="6">
        <f>COUNTIF(DuLieu!M2:M501,4)</f>
        <v/>
      </c>
      <c r="J13" s="6">
        <f>COUNTIF(DuLieu!M2:M501,5)</f>
        <v/>
      </c>
      <c r="K13" s="5">
        <f>IF(D13="","",IF(D13&gt;=$C$1,"GIỮ","LOẠI"))</f>
        <v/>
      </c>
    </row>
    <row r="14">
      <c r="A14" s="5" t="inlineStr">
        <is>
          <t>C10</t>
        </is>
      </c>
      <c r="B14" s="6" t="inlineStr"/>
      <c r="C14" s="6">
        <f>COUNT(DuLieu!N2:N501)</f>
        <v/>
      </c>
      <c r="D14" s="7">
        <f>IFERROR(AVERAGE(DuLieu!N2:N501),"")</f>
        <v/>
      </c>
      <c r="E14" s="7">
        <f>IFERROR(STDEV.S(DuLieu!N2:N501),"")</f>
        <v/>
      </c>
      <c r="F14" s="6">
        <f>COUNTIF(DuLieu!N2:N501,1)</f>
        <v/>
      </c>
      <c r="G14" s="6">
        <f>COUNTIF(DuLieu!N2:N501,2)</f>
        <v/>
      </c>
      <c r="H14" s="6">
        <f>COUNTIF(DuLieu!N2:N501,3)</f>
        <v/>
      </c>
      <c r="I14" s="6">
        <f>COUNTIF(DuLieu!N2:N501,4)</f>
        <v/>
      </c>
      <c r="J14" s="6">
        <f>COUNTIF(DuLieu!N2:N501,5)</f>
        <v/>
      </c>
      <c r="K14" s="5">
        <f>IF(D14="","",IF(D14&gt;=$C$1,"GIỮ","LOẠI"))</f>
        <v/>
      </c>
    </row>
    <row r="15">
      <c r="A15" s="5" t="inlineStr">
        <is>
          <t>C11</t>
        </is>
      </c>
      <c r="B15" s="6" t="inlineStr"/>
      <c r="C15" s="6">
        <f>COUNT(DuLieu!O2:O501)</f>
        <v/>
      </c>
      <c r="D15" s="7">
        <f>IFERROR(AVERAGE(DuLieu!O2:O501),"")</f>
        <v/>
      </c>
      <c r="E15" s="7">
        <f>IFERROR(STDEV.S(DuLieu!O2:O501),"")</f>
        <v/>
      </c>
      <c r="F15" s="6">
        <f>COUNTIF(DuLieu!O2:O501,1)</f>
        <v/>
      </c>
      <c r="G15" s="6">
        <f>COUNTIF(DuLieu!O2:O501,2)</f>
        <v/>
      </c>
      <c r="H15" s="6">
        <f>COUNTIF(DuLieu!O2:O501,3)</f>
        <v/>
      </c>
      <c r="I15" s="6">
        <f>COUNTIF(DuLieu!O2:O501,4)</f>
        <v/>
      </c>
      <c r="J15" s="6">
        <f>COUNTIF(DuLieu!O2:O501,5)</f>
        <v/>
      </c>
      <c r="K15" s="5">
        <f>IF(D15="","",IF(D15&gt;=$C$1,"GIỮ","LOẠI"))</f>
        <v/>
      </c>
    </row>
    <row r="16">
      <c r="A16" s="5" t="inlineStr">
        <is>
          <t>C12</t>
        </is>
      </c>
      <c r="B16" s="6" t="inlineStr"/>
      <c r="C16" s="6">
        <f>COUNT(DuLieu!P2:P501)</f>
        <v/>
      </c>
      <c r="D16" s="7">
        <f>IFERROR(AVERAGE(DuLieu!P2:P501),"")</f>
        <v/>
      </c>
      <c r="E16" s="7">
        <f>IFERROR(STDEV.S(DuLieu!P2:P501),"")</f>
        <v/>
      </c>
      <c r="F16" s="6">
        <f>COUNTIF(DuLieu!P2:P501,1)</f>
        <v/>
      </c>
      <c r="G16" s="6">
        <f>COUNTIF(DuLieu!P2:P501,2)</f>
        <v/>
      </c>
      <c r="H16" s="6">
        <f>COUNTIF(DuLieu!P2:P501,3)</f>
        <v/>
      </c>
      <c r="I16" s="6">
        <f>COUNTIF(DuLieu!P2:P501,4)</f>
        <v/>
      </c>
      <c r="J16" s="6">
        <f>COUNTIF(DuLieu!P2:P501,5)</f>
        <v/>
      </c>
      <c r="K16" s="5">
        <f>IF(D16="","",IF(D16&gt;=$C$1,"GIỮ","LOẠI"))</f>
        <v/>
      </c>
    </row>
  </sheetData>
  <conditionalFormatting sqref="K5:K16">
    <cfRule type="cellIs" priority="1" operator="equal" dxfId="0">
      <formula>"LOẠI"</formula>
    </cfRule>
    <cfRule type="cellIs" priority="2" operator="equal" dxfId="1">
      <formula>"GIỮ"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2026-07-04T11:36:48Z</dcterms:created>
  <dcterms:modified xsi:type="dcterms:W3CDTF">2026-07-04T11:36:48Z</dcterms:modified>
</cp:coreProperties>
</file>