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DB4A649-9521-4C47-9890-0436AAF54629}" xr6:coauthVersionLast="47" xr6:coauthVersionMax="47" xr10:uidLastSave="{00000000-0000-0000-0000-000000000000}"/>
  <bookViews>
    <workbookView xWindow="14295" yWindow="0" windowWidth="14610" windowHeight="15585" xr2:uid="{1676A3C8-FF02-49AD-8CA4-C0CDCE643408}"/>
  </bookViews>
  <sheets>
    <sheet name="Data" sheetId="1" r:id="rId1"/>
    <sheet name="Average" sheetId="2" r:id="rId2"/>
    <sheet name="AHP - Criteria Weight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4" l="1"/>
  <c r="B5" i="4"/>
  <c r="J5" i="4" s="1"/>
  <c r="B6" i="4"/>
  <c r="C6" i="4"/>
  <c r="B7" i="4"/>
  <c r="C7" i="4"/>
  <c r="D7" i="4"/>
  <c r="B8" i="4"/>
  <c r="C8" i="4"/>
  <c r="D8" i="4"/>
  <c r="E8" i="4"/>
  <c r="B9" i="4"/>
  <c r="C9" i="4"/>
  <c r="D9" i="4"/>
  <c r="E9" i="4"/>
  <c r="F9" i="4"/>
  <c r="B10" i="4"/>
  <c r="C10" i="4"/>
  <c r="D10" i="4"/>
  <c r="E10" i="4"/>
  <c r="F10" i="4"/>
  <c r="G10" i="4"/>
  <c r="K12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9" i="2"/>
  <c r="D9" i="2" a="1"/>
  <c r="J9" i="4" l="1"/>
  <c r="J7" i="4"/>
  <c r="J8" i="4"/>
  <c r="J6" i="4"/>
  <c r="J10" i="4"/>
  <c r="K8" i="4" l="1"/>
  <c r="F13" i="4" s="1"/>
  <c r="K7" i="4"/>
  <c r="E13" i="4" s="1"/>
  <c r="K10" i="4"/>
  <c r="H13" i="4" s="1"/>
  <c r="K9" i="4"/>
  <c r="G13" i="4" s="1"/>
  <c r="K6" i="4"/>
  <c r="D13" i="4" s="1"/>
  <c r="K5" i="4"/>
  <c r="K4" i="4"/>
  <c r="B13" i="4" s="1"/>
  <c r="C13" i="4" l="1"/>
  <c r="K11" i="4"/>
  <c r="M22" i="4"/>
  <c r="N22" i="4" s="1"/>
  <c r="M19" i="4" l="1"/>
  <c r="N19" i="4" s="1"/>
  <c r="M18" i="4"/>
  <c r="N18" i="4" s="1"/>
  <c r="M21" i="4"/>
  <c r="N21" i="4" s="1"/>
  <c r="M20" i="4"/>
  <c r="N20" i="4" s="1"/>
  <c r="M23" i="4"/>
  <c r="N23" i="4" s="1"/>
  <c r="M17" i="4"/>
  <c r="N17" i="4" s="1"/>
  <c r="B25" i="4" l="1"/>
  <c r="B27" i="4" s="1"/>
  <c r="B29" i="4" s="1"/>
  <c r="B3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<sst xmlns="http://schemas.openxmlformats.org/spreadsheetml/2006/main" count="53" uniqueCount="38">
  <si>
    <t>1. Giá cả (Price)</t>
  </si>
  <si>
    <t>2. Sức mạnh vi xử lý (CPU)</t>
  </si>
  <si>
    <t>3. Dung lượng bộ nhớ (RAM)</t>
  </si>
  <si>
    <t>4. Không gian lưu trữ (SSD)</t>
  </si>
  <si>
    <t>5. Màn hình hiển thị (Display)</t>
  </si>
  <si>
    <t>6. Trải nghiệm bàn phím (Keyboard)</t>
  </si>
  <si>
    <t>7. Thiết kế và Vật liệu vỏ (Design &amp; Shell Material)</t>
  </si>
  <si>
    <t>8. Kích thước và Trọng lượng (Portability)</t>
  </si>
  <si>
    <t>9. Độ bền và Chống sốc (Durability)</t>
  </si>
  <si>
    <t>10. Thời lượng pin (Battery)</t>
  </si>
  <si>
    <t>11. Cổng kết nối đa dụng (Ports)</t>
  </si>
  <si>
    <t>12. Tương thích phần mềm (Software Compatibility)</t>
  </si>
  <si>
    <t>13. Thương hiệu (Brand)</t>
  </si>
  <si>
    <t>14. Bảo hành và Hậu mãi (After-sales)</t>
  </si>
  <si>
    <t>Price</t>
  </si>
  <si>
    <t>CPU</t>
  </si>
  <si>
    <t>RAM</t>
  </si>
  <si>
    <t>SSD</t>
  </si>
  <si>
    <t>Battery</t>
  </si>
  <si>
    <t>Tiêu chí</t>
  </si>
  <si>
    <t>Average</t>
  </si>
  <si>
    <t>Result</t>
  </si>
  <si>
    <t>Number of Criteria after Survey:</t>
  </si>
  <si>
    <t>Brand</t>
  </si>
  <si>
    <t>Weight</t>
  </si>
  <si>
    <t>Geo. Mean</t>
  </si>
  <si>
    <t>Trọng số</t>
  </si>
  <si>
    <t>Tổng</t>
  </si>
  <si>
    <t>w (hàng ngang, phụ trợ SUMPRODUCT)</t>
  </si>
  <si>
    <t>KIỂM TRA TÍNH NHẤT QUÁN (CONSISTENCY CHECK)</t>
  </si>
  <si>
    <t>λmax (trung bình λi)</t>
  </si>
  <si>
    <t>n (số tiêu chí)</t>
  </si>
  <si>
    <t>CI = (λmax - n) / (n - 1)</t>
  </si>
  <si>
    <t>RI (Random Index, n=7 — Saaty, 1980)</t>
  </si>
  <si>
    <t>CR = CI / RI</t>
  </si>
  <si>
    <t>Kết luận</t>
  </si>
  <si>
    <t>λi = (A·w)i / wi</t>
  </si>
  <si>
    <t>A·w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</si>
</sst>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0.0000"/>
    <numFmt numFmtId="169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FFFF"/>
      <name val="Times New Roman"/>
      <family val="1"/>
      <charset val="163"/>
    </font>
    <font>
      <sz val="11"/>
      <color rgb="FF0000FF"/>
      <name val="Times New Roman"/>
      <family val="1"/>
      <charset val="163"/>
    </font>
    <font>
      <i/>
      <sz val="9"/>
      <color rgb="FF666666"/>
      <name val="Times New Roman"/>
      <family val="1"/>
      <charset val="163"/>
    </font>
    <font>
      <b/>
      <sz val="11"/>
      <color rgb="FF006100"/>
      <name val="Times New Roman"/>
      <family val="1"/>
      <charset val="163"/>
    </font>
    <font>
      <sz val="11"/>
      <color theme="1"/>
      <name val="Calibri"/>
      <family val="2"/>
      <charset val="1"/>
    </font>
    <font>
      <b/>
      <sz val="11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b/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0" fontId="4" fillId="2" borderId="0" xfId="0" applyFont="1" applyFill="1"/>
    <xf numFmtId="0" fontId="9" fillId="0" borderId="0" xfId="2"/>
    <xf numFmtId="0" fontId="8" fillId="0" borderId="0" xfId="2" applyFont="1"/>
    <xf numFmtId="0" fontId="10" fillId="0" borderId="0" xfId="2" applyFont="1"/>
    <xf numFmtId="168" fontId="10" fillId="0" borderId="0" xfId="2" applyNumberFormat="1" applyFont="1"/>
    <xf numFmtId="2" fontId="6" fillId="0" borderId="0" xfId="2" applyNumberFormat="1" applyFont="1"/>
    <xf numFmtId="168" fontId="11" fillId="0" borderId="0" xfId="2" applyNumberFormat="1" applyFont="1"/>
    <xf numFmtId="0" fontId="6" fillId="0" borderId="0" xfId="2" applyFont="1"/>
    <xf numFmtId="168" fontId="11" fillId="0" borderId="2" xfId="2" applyNumberFormat="1" applyFont="1" applyBorder="1"/>
    <xf numFmtId="0" fontId="11" fillId="0" borderId="0" xfId="2" applyFont="1"/>
    <xf numFmtId="0" fontId="12" fillId="0" borderId="0" xfId="2" applyFont="1"/>
    <xf numFmtId="168" fontId="7" fillId="0" borderId="0" xfId="2" applyNumberFormat="1" applyFont="1"/>
    <xf numFmtId="0" fontId="7" fillId="0" borderId="0" xfId="2" applyFont="1"/>
    <xf numFmtId="169" fontId="10" fillId="0" borderId="2" xfId="2" applyNumberFormat="1" applyFont="1" applyBorder="1"/>
    <xf numFmtId="169" fontId="11" fillId="0" borderId="2" xfId="2" applyNumberFormat="1" applyFont="1" applyBorder="1"/>
    <xf numFmtId="0" fontId="5" fillId="4" borderId="2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wrapText="1"/>
    </xf>
    <xf numFmtId="0" fontId="9" fillId="4" borderId="0" xfId="2" applyFill="1"/>
    <xf numFmtId="43" fontId="11" fillId="3" borderId="2" xfId="1" applyFont="1" applyFill="1" applyBorder="1" applyAlignment="1">
      <alignment horizontal="center"/>
    </xf>
    <xf numFmtId="43" fontId="6" fillId="5" borderId="2" xfId="1" applyFont="1" applyFill="1" applyBorder="1" applyAlignment="1">
      <alignment horizontal="center"/>
    </xf>
    <xf numFmtId="43" fontId="11" fillId="0" borderId="2" xfId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C4D6E984-C6DE-40BE-89F3-33E7DD3EFA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B030-37EE-400D-9D1F-CFAE832354DB}">
  <dimension ref="A1:N85"/>
  <sheetViews>
    <sheetView tabSelected="1" workbookViewId="0">
      <selection activeCell="G23" sqref="G23"/>
    </sheetView>
  </sheetViews>
  <sheetFormatPr defaultRowHeight="15" x14ac:dyDescent="0.25"/>
  <cols>
    <col min="1" max="14" width="15.140625" customWidth="1"/>
  </cols>
  <sheetData>
    <row r="1" spans="1:14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5</v>
      </c>
      <c r="B2" s="2">
        <v>4</v>
      </c>
      <c r="C2" s="2">
        <v>4</v>
      </c>
      <c r="D2" s="2">
        <v>4</v>
      </c>
      <c r="E2" s="2">
        <v>3</v>
      </c>
      <c r="F2" s="2">
        <v>3</v>
      </c>
      <c r="G2" s="2">
        <v>3</v>
      </c>
      <c r="H2" s="2">
        <v>4</v>
      </c>
      <c r="I2" s="2">
        <v>1</v>
      </c>
      <c r="J2" s="2">
        <v>3</v>
      </c>
      <c r="K2" s="2">
        <v>3</v>
      </c>
      <c r="L2" s="2">
        <v>1</v>
      </c>
      <c r="M2" s="2">
        <v>4</v>
      </c>
      <c r="N2" s="2">
        <v>4</v>
      </c>
    </row>
    <row r="3" spans="1:14" x14ac:dyDescent="0.25">
      <c r="A3" s="2">
        <v>5</v>
      </c>
      <c r="B3" s="2">
        <v>5</v>
      </c>
      <c r="C3" s="2">
        <v>5</v>
      </c>
      <c r="D3" s="2">
        <v>5</v>
      </c>
      <c r="E3" s="2">
        <v>4</v>
      </c>
      <c r="F3" s="2">
        <v>4</v>
      </c>
      <c r="G3" s="2">
        <v>4</v>
      </c>
      <c r="H3" s="2">
        <v>5</v>
      </c>
      <c r="I3" s="2">
        <v>1</v>
      </c>
      <c r="J3" s="2">
        <v>5</v>
      </c>
      <c r="K3" s="2">
        <v>1</v>
      </c>
      <c r="L3" s="2">
        <v>5</v>
      </c>
      <c r="M3" s="2">
        <v>4</v>
      </c>
      <c r="N3" s="2">
        <v>1</v>
      </c>
    </row>
    <row r="4" spans="1:14" x14ac:dyDescent="0.25">
      <c r="A4" s="2">
        <v>4</v>
      </c>
      <c r="B4" s="2">
        <v>5</v>
      </c>
      <c r="C4" s="2">
        <v>3</v>
      </c>
      <c r="D4" s="2">
        <v>5</v>
      </c>
      <c r="E4" s="2">
        <v>4</v>
      </c>
      <c r="F4" s="2">
        <v>4</v>
      </c>
      <c r="G4" s="2">
        <v>3</v>
      </c>
      <c r="H4" s="2">
        <v>4</v>
      </c>
      <c r="I4" s="2">
        <v>3</v>
      </c>
      <c r="J4" s="2">
        <v>3</v>
      </c>
      <c r="K4" s="2">
        <v>1</v>
      </c>
      <c r="L4" s="2">
        <v>1</v>
      </c>
      <c r="M4" s="2">
        <v>4</v>
      </c>
      <c r="N4" s="2">
        <v>3</v>
      </c>
    </row>
    <row r="5" spans="1:14" x14ac:dyDescent="0.25">
      <c r="A5" s="2">
        <v>5</v>
      </c>
      <c r="B5" s="2">
        <v>3</v>
      </c>
      <c r="C5" s="2">
        <v>3</v>
      </c>
      <c r="D5" s="2">
        <v>3</v>
      </c>
      <c r="E5" s="2">
        <v>2</v>
      </c>
      <c r="F5" s="2">
        <v>4</v>
      </c>
      <c r="G5" s="2">
        <v>3</v>
      </c>
      <c r="H5" s="2">
        <v>4</v>
      </c>
      <c r="I5" s="2">
        <v>4</v>
      </c>
      <c r="J5" s="2">
        <v>4</v>
      </c>
      <c r="K5" s="2">
        <v>5</v>
      </c>
      <c r="L5" s="2">
        <v>4</v>
      </c>
      <c r="M5" s="2">
        <v>4</v>
      </c>
      <c r="N5" s="2">
        <v>3</v>
      </c>
    </row>
    <row r="6" spans="1:14" x14ac:dyDescent="0.25">
      <c r="A6" s="2">
        <v>5</v>
      </c>
      <c r="B6" s="2">
        <v>4</v>
      </c>
      <c r="C6" s="2">
        <v>4</v>
      </c>
      <c r="D6" s="2">
        <v>4</v>
      </c>
      <c r="E6" s="2">
        <v>3</v>
      </c>
      <c r="F6" s="2">
        <v>3</v>
      </c>
      <c r="G6" s="2">
        <v>3</v>
      </c>
      <c r="H6" s="2">
        <v>4</v>
      </c>
      <c r="I6" s="2">
        <v>1</v>
      </c>
      <c r="J6" s="2">
        <v>5</v>
      </c>
      <c r="K6" s="2">
        <v>3</v>
      </c>
      <c r="L6" s="2">
        <v>4</v>
      </c>
      <c r="M6" s="2">
        <v>4</v>
      </c>
      <c r="N6" s="2">
        <v>1</v>
      </c>
    </row>
    <row r="7" spans="1:14" x14ac:dyDescent="0.25">
      <c r="A7" s="2">
        <v>3</v>
      </c>
      <c r="B7" s="2">
        <v>2</v>
      </c>
      <c r="C7" s="2">
        <v>2</v>
      </c>
      <c r="D7" s="2">
        <v>2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2</v>
      </c>
      <c r="L7" s="2">
        <v>3</v>
      </c>
      <c r="M7" s="2">
        <v>2</v>
      </c>
      <c r="N7" s="2">
        <v>4</v>
      </c>
    </row>
    <row r="8" spans="1:14" x14ac:dyDescent="0.25">
      <c r="A8" s="2">
        <v>5</v>
      </c>
      <c r="B8" s="2">
        <v>1</v>
      </c>
      <c r="C8" s="2">
        <v>5</v>
      </c>
      <c r="D8" s="2">
        <v>5</v>
      </c>
      <c r="E8" s="2">
        <v>1</v>
      </c>
      <c r="F8" s="2">
        <v>1</v>
      </c>
      <c r="G8" s="2">
        <v>4</v>
      </c>
      <c r="H8" s="2">
        <v>5</v>
      </c>
      <c r="I8" s="2">
        <v>1</v>
      </c>
      <c r="J8" s="2">
        <v>5</v>
      </c>
      <c r="K8" s="2">
        <v>1</v>
      </c>
      <c r="L8" s="2">
        <v>1</v>
      </c>
      <c r="M8" s="2">
        <v>5</v>
      </c>
      <c r="N8" s="2">
        <v>1</v>
      </c>
    </row>
    <row r="9" spans="1:14" x14ac:dyDescent="0.25">
      <c r="A9" s="2">
        <v>1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1</v>
      </c>
      <c r="H9" s="2">
        <v>5</v>
      </c>
      <c r="I9" s="2">
        <v>5</v>
      </c>
      <c r="J9" s="2">
        <v>5</v>
      </c>
      <c r="K9" s="2">
        <v>5</v>
      </c>
      <c r="L9" s="2">
        <v>4</v>
      </c>
      <c r="M9" s="2">
        <v>5</v>
      </c>
      <c r="N9" s="2">
        <v>2</v>
      </c>
    </row>
    <row r="10" spans="1:14" x14ac:dyDescent="0.25">
      <c r="A10" s="2">
        <v>4</v>
      </c>
      <c r="B10" s="2">
        <v>5</v>
      </c>
      <c r="C10" s="2">
        <v>4</v>
      </c>
      <c r="D10" s="2">
        <v>5</v>
      </c>
      <c r="E10" s="2">
        <v>5</v>
      </c>
      <c r="F10" s="2">
        <v>1</v>
      </c>
      <c r="G10" s="2">
        <v>1</v>
      </c>
      <c r="H10" s="2">
        <v>5</v>
      </c>
      <c r="I10" s="2">
        <v>1</v>
      </c>
      <c r="J10" s="2">
        <v>5</v>
      </c>
      <c r="K10" s="2">
        <v>5</v>
      </c>
      <c r="L10" s="2">
        <v>2</v>
      </c>
      <c r="M10" s="2">
        <v>2</v>
      </c>
      <c r="N10" s="2">
        <v>2</v>
      </c>
    </row>
    <row r="11" spans="1:14" x14ac:dyDescent="0.25">
      <c r="A11" s="2">
        <v>2</v>
      </c>
      <c r="B11" s="2">
        <v>3</v>
      </c>
      <c r="C11" s="2">
        <v>2</v>
      </c>
      <c r="D11" s="2">
        <v>2</v>
      </c>
      <c r="E11" s="2">
        <v>2</v>
      </c>
      <c r="F11" s="2">
        <v>2</v>
      </c>
      <c r="G11" s="2">
        <v>2</v>
      </c>
      <c r="H11" s="2">
        <v>4</v>
      </c>
      <c r="I11" s="2">
        <v>2</v>
      </c>
      <c r="J11" s="2">
        <v>2</v>
      </c>
      <c r="K11" s="2">
        <v>5</v>
      </c>
      <c r="L11" s="2">
        <v>5</v>
      </c>
      <c r="M11" s="2">
        <v>5</v>
      </c>
      <c r="N11" s="2">
        <v>5</v>
      </c>
    </row>
    <row r="12" spans="1:14" x14ac:dyDescent="0.25">
      <c r="A12" s="2">
        <v>1</v>
      </c>
      <c r="B12" s="2">
        <v>5</v>
      </c>
      <c r="C12" s="2">
        <v>5</v>
      </c>
      <c r="D12" s="2">
        <v>5</v>
      </c>
      <c r="E12" s="2">
        <v>1</v>
      </c>
      <c r="F12" s="2">
        <v>1</v>
      </c>
      <c r="G12" s="2">
        <v>1</v>
      </c>
      <c r="H12" s="2">
        <v>2</v>
      </c>
      <c r="I12" s="2">
        <v>3</v>
      </c>
      <c r="J12" s="2">
        <v>4</v>
      </c>
      <c r="K12" s="2">
        <v>4</v>
      </c>
      <c r="L12" s="2">
        <v>3</v>
      </c>
      <c r="M12" s="2">
        <v>2</v>
      </c>
      <c r="N12" s="2">
        <v>4</v>
      </c>
    </row>
    <row r="13" spans="1:14" x14ac:dyDescent="0.25">
      <c r="A13" s="2">
        <v>5</v>
      </c>
      <c r="B13" s="2">
        <v>5</v>
      </c>
      <c r="C13" s="2">
        <v>4</v>
      </c>
      <c r="D13" s="2">
        <v>5</v>
      </c>
      <c r="E13" s="2">
        <v>4</v>
      </c>
      <c r="F13" s="2">
        <v>2</v>
      </c>
      <c r="G13" s="2">
        <v>4</v>
      </c>
      <c r="H13" s="2">
        <v>5</v>
      </c>
      <c r="I13" s="2">
        <v>1</v>
      </c>
      <c r="J13" s="2">
        <v>5</v>
      </c>
      <c r="K13" s="2">
        <v>4</v>
      </c>
      <c r="L13" s="2">
        <v>1</v>
      </c>
      <c r="M13" s="2">
        <v>4</v>
      </c>
      <c r="N13" s="2">
        <v>1</v>
      </c>
    </row>
    <row r="14" spans="1:14" x14ac:dyDescent="0.25">
      <c r="A14" s="2">
        <v>4</v>
      </c>
      <c r="B14" s="2">
        <v>4</v>
      </c>
      <c r="C14" s="2">
        <v>4</v>
      </c>
      <c r="D14" s="2">
        <v>4</v>
      </c>
      <c r="E14" s="2">
        <v>5</v>
      </c>
      <c r="F14" s="2">
        <v>2</v>
      </c>
      <c r="G14" s="2">
        <v>3</v>
      </c>
      <c r="H14" s="2">
        <v>4</v>
      </c>
      <c r="I14" s="2">
        <v>3</v>
      </c>
      <c r="J14" s="2">
        <v>4</v>
      </c>
      <c r="K14" s="2">
        <v>1</v>
      </c>
      <c r="L14" s="2">
        <v>5</v>
      </c>
      <c r="M14" s="2">
        <v>1</v>
      </c>
      <c r="N14" s="2">
        <v>3</v>
      </c>
    </row>
    <row r="15" spans="1:14" x14ac:dyDescent="0.25">
      <c r="A15" s="2">
        <v>4</v>
      </c>
      <c r="B15" s="2">
        <v>4</v>
      </c>
      <c r="C15" s="2">
        <v>5</v>
      </c>
      <c r="D15" s="2">
        <v>3</v>
      </c>
      <c r="E15" s="2">
        <v>5</v>
      </c>
      <c r="F15" s="2">
        <v>3</v>
      </c>
      <c r="G15" s="2">
        <v>3</v>
      </c>
      <c r="H15" s="2">
        <v>3</v>
      </c>
      <c r="I15" s="2">
        <v>3</v>
      </c>
      <c r="J15" s="2">
        <v>4</v>
      </c>
      <c r="K15" s="2">
        <v>1</v>
      </c>
      <c r="L15" s="2">
        <v>3</v>
      </c>
      <c r="M15" s="2">
        <v>4</v>
      </c>
      <c r="N15" s="2">
        <v>4</v>
      </c>
    </row>
    <row r="16" spans="1:14" x14ac:dyDescent="0.25">
      <c r="A16" s="2">
        <v>3</v>
      </c>
      <c r="B16" s="2">
        <v>4</v>
      </c>
      <c r="C16" s="2">
        <v>5</v>
      </c>
      <c r="D16" s="2">
        <v>4</v>
      </c>
      <c r="E16" s="2">
        <v>1</v>
      </c>
      <c r="F16" s="2">
        <v>3</v>
      </c>
      <c r="G16" s="2">
        <v>1</v>
      </c>
      <c r="H16" s="2">
        <v>5</v>
      </c>
      <c r="I16" s="2">
        <v>4</v>
      </c>
      <c r="J16" s="2">
        <v>4</v>
      </c>
      <c r="K16" s="2">
        <v>4</v>
      </c>
      <c r="L16" s="2">
        <v>5</v>
      </c>
      <c r="M16" s="2">
        <v>4</v>
      </c>
      <c r="N16" s="2">
        <v>4</v>
      </c>
    </row>
    <row r="17" spans="1:14" x14ac:dyDescent="0.25">
      <c r="A17" s="2">
        <v>4</v>
      </c>
      <c r="B17" s="2">
        <v>3</v>
      </c>
      <c r="C17" s="2">
        <v>4</v>
      </c>
      <c r="D17" s="2">
        <v>2</v>
      </c>
      <c r="E17" s="2">
        <v>4</v>
      </c>
      <c r="F17" s="2">
        <v>1</v>
      </c>
      <c r="G17" s="2">
        <v>4</v>
      </c>
      <c r="H17" s="2">
        <v>5</v>
      </c>
      <c r="I17" s="2">
        <v>3</v>
      </c>
      <c r="J17" s="2">
        <v>4</v>
      </c>
      <c r="K17" s="2">
        <v>4</v>
      </c>
      <c r="L17" s="2">
        <v>1</v>
      </c>
      <c r="M17" s="2">
        <v>4</v>
      </c>
      <c r="N17" s="2">
        <v>1</v>
      </c>
    </row>
    <row r="18" spans="1:14" x14ac:dyDescent="0.25">
      <c r="A18" s="2">
        <v>5</v>
      </c>
      <c r="B18" s="2">
        <v>4</v>
      </c>
      <c r="C18" s="2">
        <v>5</v>
      </c>
      <c r="D18" s="2">
        <v>5</v>
      </c>
      <c r="E18" s="2">
        <v>3</v>
      </c>
      <c r="F18" s="2">
        <v>3</v>
      </c>
      <c r="G18" s="2">
        <v>4</v>
      </c>
      <c r="H18" s="2">
        <v>5</v>
      </c>
      <c r="I18" s="2">
        <v>1</v>
      </c>
      <c r="J18" s="2">
        <v>3</v>
      </c>
      <c r="K18" s="2">
        <v>3</v>
      </c>
      <c r="L18" s="2">
        <v>4</v>
      </c>
      <c r="M18" s="2">
        <v>5</v>
      </c>
      <c r="N18" s="2">
        <v>3</v>
      </c>
    </row>
    <row r="19" spans="1:14" x14ac:dyDescent="0.25">
      <c r="A19" s="2">
        <v>4</v>
      </c>
      <c r="B19" s="2">
        <v>5</v>
      </c>
      <c r="C19" s="2">
        <v>5</v>
      </c>
      <c r="D19" s="2">
        <v>4</v>
      </c>
      <c r="E19" s="2">
        <v>3</v>
      </c>
      <c r="F19" s="2">
        <v>3</v>
      </c>
      <c r="G19" s="2">
        <v>1</v>
      </c>
      <c r="H19" s="2">
        <v>3</v>
      </c>
      <c r="I19" s="2">
        <v>1</v>
      </c>
      <c r="J19" s="2">
        <v>4</v>
      </c>
      <c r="K19" s="2">
        <v>1</v>
      </c>
      <c r="L19" s="2">
        <v>4</v>
      </c>
      <c r="M19" s="2">
        <v>4</v>
      </c>
      <c r="N19" s="2">
        <v>1</v>
      </c>
    </row>
    <row r="20" spans="1:14" x14ac:dyDescent="0.25">
      <c r="A20" s="2">
        <v>2</v>
      </c>
      <c r="B20" s="2">
        <v>2</v>
      </c>
      <c r="C20" s="2">
        <v>2</v>
      </c>
      <c r="D20" s="2">
        <v>3</v>
      </c>
      <c r="E20" s="2">
        <v>4</v>
      </c>
      <c r="F20" s="2">
        <v>2</v>
      </c>
      <c r="G20" s="2">
        <v>1</v>
      </c>
      <c r="H20" s="2">
        <v>2</v>
      </c>
      <c r="I20" s="2">
        <v>1</v>
      </c>
      <c r="J20" s="2">
        <v>2</v>
      </c>
      <c r="K20" s="2">
        <v>2</v>
      </c>
      <c r="L20" s="2">
        <v>2</v>
      </c>
      <c r="M20" s="2">
        <v>4</v>
      </c>
      <c r="N20" s="2">
        <v>5</v>
      </c>
    </row>
    <row r="21" spans="1:14" x14ac:dyDescent="0.25">
      <c r="A21" s="2">
        <v>2</v>
      </c>
      <c r="B21" s="2">
        <v>2</v>
      </c>
      <c r="C21" s="2">
        <v>2</v>
      </c>
      <c r="D21" s="2">
        <v>2</v>
      </c>
      <c r="E21" s="2">
        <v>2</v>
      </c>
      <c r="F21" s="2">
        <v>4</v>
      </c>
      <c r="G21" s="2">
        <v>2</v>
      </c>
      <c r="H21" s="2">
        <v>5</v>
      </c>
      <c r="I21" s="2">
        <v>1</v>
      </c>
      <c r="J21" s="2">
        <v>4</v>
      </c>
      <c r="K21" s="2">
        <v>4</v>
      </c>
      <c r="L21" s="2">
        <v>2</v>
      </c>
      <c r="M21" s="2">
        <v>4</v>
      </c>
      <c r="N21" s="2">
        <v>4</v>
      </c>
    </row>
    <row r="22" spans="1:14" x14ac:dyDescent="0.25">
      <c r="A22" s="2">
        <v>5</v>
      </c>
      <c r="B22" s="2">
        <v>5</v>
      </c>
      <c r="C22" s="2">
        <v>5</v>
      </c>
      <c r="D22" s="2">
        <v>5</v>
      </c>
      <c r="E22" s="2">
        <v>1</v>
      </c>
      <c r="F22" s="2">
        <v>3</v>
      </c>
      <c r="G22" s="2">
        <v>3</v>
      </c>
      <c r="H22" s="2">
        <v>4</v>
      </c>
      <c r="I22" s="2">
        <v>4</v>
      </c>
      <c r="J22" s="2">
        <v>5</v>
      </c>
      <c r="K22" s="2">
        <v>4</v>
      </c>
      <c r="L22" s="2">
        <v>5</v>
      </c>
      <c r="M22" s="2">
        <v>5</v>
      </c>
      <c r="N22" s="2">
        <v>3</v>
      </c>
    </row>
    <row r="23" spans="1:14" x14ac:dyDescent="0.25">
      <c r="A23" s="2">
        <v>3</v>
      </c>
      <c r="B23" s="2">
        <v>3</v>
      </c>
      <c r="C23" s="2">
        <v>3</v>
      </c>
      <c r="D23" s="2">
        <v>3</v>
      </c>
      <c r="E23" s="2">
        <v>4</v>
      </c>
      <c r="F23" s="2">
        <v>4</v>
      </c>
      <c r="G23" s="2">
        <v>1</v>
      </c>
      <c r="H23" s="2">
        <v>4</v>
      </c>
      <c r="I23" s="2">
        <v>1</v>
      </c>
      <c r="J23" s="2">
        <v>4</v>
      </c>
      <c r="K23" s="2">
        <v>4</v>
      </c>
      <c r="L23" s="2">
        <v>1</v>
      </c>
      <c r="M23" s="2">
        <v>4</v>
      </c>
      <c r="N23" s="2">
        <v>1</v>
      </c>
    </row>
    <row r="24" spans="1:14" x14ac:dyDescent="0.25">
      <c r="A24" s="2">
        <v>4</v>
      </c>
      <c r="B24" s="2">
        <v>5</v>
      </c>
      <c r="C24" s="2">
        <v>5</v>
      </c>
      <c r="D24" s="2">
        <v>5</v>
      </c>
      <c r="E24" s="2">
        <v>3</v>
      </c>
      <c r="F24" s="2">
        <v>3</v>
      </c>
      <c r="G24" s="2">
        <v>3</v>
      </c>
      <c r="H24" s="2">
        <v>2</v>
      </c>
      <c r="I24" s="2">
        <v>3</v>
      </c>
      <c r="J24" s="2">
        <v>5</v>
      </c>
      <c r="K24" s="2">
        <v>2</v>
      </c>
      <c r="L24" s="2">
        <v>2</v>
      </c>
      <c r="M24" s="2">
        <v>3</v>
      </c>
      <c r="N24" s="2">
        <v>5</v>
      </c>
    </row>
    <row r="25" spans="1:14" x14ac:dyDescent="0.25">
      <c r="A25" s="2">
        <v>3</v>
      </c>
      <c r="B25" s="2">
        <v>5</v>
      </c>
      <c r="C25" s="2">
        <v>4</v>
      </c>
      <c r="D25" s="2">
        <v>5</v>
      </c>
      <c r="E25" s="2">
        <v>5</v>
      </c>
      <c r="F25" s="2">
        <v>3</v>
      </c>
      <c r="G25" s="2">
        <v>4</v>
      </c>
      <c r="H25" s="2">
        <v>4</v>
      </c>
      <c r="I25" s="2">
        <v>1</v>
      </c>
      <c r="J25" s="2">
        <v>4</v>
      </c>
      <c r="K25" s="2">
        <v>4</v>
      </c>
      <c r="L25" s="2">
        <v>1</v>
      </c>
      <c r="M25" s="2">
        <v>3</v>
      </c>
      <c r="N25" s="2">
        <v>1</v>
      </c>
    </row>
    <row r="26" spans="1:14" x14ac:dyDescent="0.25">
      <c r="A26" s="2">
        <v>3</v>
      </c>
      <c r="B26" s="2">
        <v>4</v>
      </c>
      <c r="C26" s="2">
        <v>4</v>
      </c>
      <c r="D26" s="2">
        <v>4</v>
      </c>
      <c r="E26" s="2">
        <v>4</v>
      </c>
      <c r="F26" s="2">
        <v>3</v>
      </c>
      <c r="G26" s="2">
        <v>3</v>
      </c>
      <c r="H26" s="2">
        <v>4</v>
      </c>
      <c r="I26" s="2">
        <v>1</v>
      </c>
      <c r="J26" s="2">
        <v>3</v>
      </c>
      <c r="K26" s="2">
        <v>1</v>
      </c>
      <c r="L26" s="2">
        <v>5</v>
      </c>
      <c r="M26" s="2">
        <v>5</v>
      </c>
      <c r="N26" s="2">
        <v>5</v>
      </c>
    </row>
    <row r="27" spans="1:14" x14ac:dyDescent="0.25">
      <c r="A27" s="2">
        <v>5</v>
      </c>
      <c r="B27" s="2">
        <v>4</v>
      </c>
      <c r="C27" s="2">
        <v>4</v>
      </c>
      <c r="D27" s="2">
        <v>4</v>
      </c>
      <c r="E27" s="2">
        <v>3</v>
      </c>
      <c r="F27" s="2">
        <v>3</v>
      </c>
      <c r="G27" s="2">
        <v>3</v>
      </c>
      <c r="H27" s="2">
        <v>4</v>
      </c>
      <c r="I27" s="2">
        <v>1</v>
      </c>
      <c r="J27" s="2">
        <v>5</v>
      </c>
      <c r="K27" s="2">
        <v>2</v>
      </c>
      <c r="L27" s="2">
        <v>3</v>
      </c>
      <c r="M27" s="2">
        <v>3</v>
      </c>
      <c r="N27" s="2">
        <v>3</v>
      </c>
    </row>
    <row r="28" spans="1:14" x14ac:dyDescent="0.25">
      <c r="A28" s="2">
        <v>5</v>
      </c>
      <c r="B28" s="2">
        <v>3</v>
      </c>
      <c r="C28" s="2">
        <v>4</v>
      </c>
      <c r="D28" s="2">
        <v>4</v>
      </c>
      <c r="E28" s="2">
        <v>4</v>
      </c>
      <c r="F28" s="2">
        <v>4</v>
      </c>
      <c r="G28" s="2">
        <v>3</v>
      </c>
      <c r="H28" s="2">
        <v>3</v>
      </c>
      <c r="I28" s="2">
        <v>3</v>
      </c>
      <c r="J28" s="2">
        <v>4</v>
      </c>
      <c r="K28" s="2">
        <v>3</v>
      </c>
      <c r="L28" s="2">
        <v>4</v>
      </c>
      <c r="M28" s="2">
        <v>4</v>
      </c>
      <c r="N28" s="2">
        <v>1</v>
      </c>
    </row>
    <row r="29" spans="1:14" x14ac:dyDescent="0.25">
      <c r="A29" s="2">
        <v>5</v>
      </c>
      <c r="B29" s="2">
        <v>4</v>
      </c>
      <c r="C29" s="2">
        <v>4</v>
      </c>
      <c r="D29" s="2">
        <v>2</v>
      </c>
      <c r="E29" s="2">
        <v>2</v>
      </c>
      <c r="F29" s="2">
        <v>2</v>
      </c>
      <c r="G29" s="2">
        <v>4</v>
      </c>
      <c r="H29" s="2">
        <v>5</v>
      </c>
      <c r="I29" s="2">
        <v>3</v>
      </c>
      <c r="J29" s="2">
        <v>5</v>
      </c>
      <c r="K29" s="2">
        <v>1</v>
      </c>
      <c r="L29" s="2">
        <v>2</v>
      </c>
      <c r="M29" s="2">
        <v>4</v>
      </c>
      <c r="N29" s="2">
        <v>2</v>
      </c>
    </row>
    <row r="30" spans="1:14" x14ac:dyDescent="0.25">
      <c r="A30" s="2">
        <v>5</v>
      </c>
      <c r="B30" s="2">
        <v>4</v>
      </c>
      <c r="C30" s="2">
        <v>4</v>
      </c>
      <c r="D30" s="2">
        <v>4</v>
      </c>
      <c r="E30" s="2">
        <v>3</v>
      </c>
      <c r="F30" s="2">
        <v>3</v>
      </c>
      <c r="G30" s="2">
        <v>3</v>
      </c>
      <c r="H30" s="2">
        <v>4</v>
      </c>
      <c r="I30" s="2">
        <v>1</v>
      </c>
      <c r="J30" s="2">
        <v>3</v>
      </c>
      <c r="K30" s="2">
        <v>3</v>
      </c>
      <c r="L30" s="2">
        <v>1</v>
      </c>
      <c r="M30" s="2">
        <v>4</v>
      </c>
      <c r="N30" s="2">
        <v>4</v>
      </c>
    </row>
    <row r="31" spans="1:14" x14ac:dyDescent="0.25">
      <c r="A31" s="2">
        <v>5</v>
      </c>
      <c r="B31" s="2">
        <v>5</v>
      </c>
      <c r="C31" s="2">
        <v>5</v>
      </c>
      <c r="D31" s="2">
        <v>5</v>
      </c>
      <c r="E31" s="2">
        <v>4</v>
      </c>
      <c r="F31" s="2">
        <v>4</v>
      </c>
      <c r="G31" s="2">
        <v>4</v>
      </c>
      <c r="H31" s="2">
        <v>5</v>
      </c>
      <c r="I31" s="2">
        <v>1</v>
      </c>
      <c r="J31" s="2">
        <v>5</v>
      </c>
      <c r="K31" s="2">
        <v>1</v>
      </c>
      <c r="L31" s="2">
        <v>1</v>
      </c>
      <c r="M31" s="2">
        <v>4</v>
      </c>
      <c r="N31" s="2">
        <v>1</v>
      </c>
    </row>
    <row r="32" spans="1:14" x14ac:dyDescent="0.25">
      <c r="A32" s="2">
        <v>4</v>
      </c>
      <c r="B32" s="2">
        <v>5</v>
      </c>
      <c r="C32" s="2">
        <v>3</v>
      </c>
      <c r="D32" s="2">
        <v>5</v>
      </c>
      <c r="E32" s="2">
        <v>4</v>
      </c>
      <c r="F32" s="2">
        <v>4</v>
      </c>
      <c r="G32" s="2">
        <v>3</v>
      </c>
      <c r="H32" s="2">
        <v>4</v>
      </c>
      <c r="I32" s="2">
        <v>3</v>
      </c>
      <c r="J32" s="2">
        <v>3</v>
      </c>
      <c r="K32" s="2">
        <v>5</v>
      </c>
      <c r="L32" s="2">
        <v>1</v>
      </c>
      <c r="M32" s="2">
        <v>4</v>
      </c>
      <c r="N32" s="2">
        <v>3</v>
      </c>
    </row>
    <row r="33" spans="1:14" x14ac:dyDescent="0.25">
      <c r="A33" s="2">
        <v>5</v>
      </c>
      <c r="B33" s="2">
        <v>3</v>
      </c>
      <c r="C33" s="2">
        <v>3</v>
      </c>
      <c r="D33" s="2">
        <v>3</v>
      </c>
      <c r="E33" s="2">
        <v>2</v>
      </c>
      <c r="F33" s="2">
        <v>4</v>
      </c>
      <c r="G33" s="2">
        <v>3</v>
      </c>
      <c r="H33" s="2">
        <v>4</v>
      </c>
      <c r="I33" s="2">
        <v>4</v>
      </c>
      <c r="J33" s="2">
        <v>4</v>
      </c>
      <c r="K33" s="2">
        <v>1</v>
      </c>
      <c r="L33" s="2">
        <v>4</v>
      </c>
      <c r="M33" s="2">
        <v>4</v>
      </c>
      <c r="N33" s="2">
        <v>3</v>
      </c>
    </row>
    <row r="34" spans="1:14" x14ac:dyDescent="0.25">
      <c r="A34" s="2">
        <v>5</v>
      </c>
      <c r="B34" s="2">
        <v>4</v>
      </c>
      <c r="C34" s="2">
        <v>4</v>
      </c>
      <c r="D34" s="2">
        <v>4</v>
      </c>
      <c r="E34" s="2">
        <v>3</v>
      </c>
      <c r="F34" s="2">
        <v>3</v>
      </c>
      <c r="G34" s="2">
        <v>3</v>
      </c>
      <c r="H34" s="2">
        <v>4</v>
      </c>
      <c r="I34" s="2">
        <v>1</v>
      </c>
      <c r="J34" s="2">
        <v>5</v>
      </c>
      <c r="K34" s="2">
        <v>3</v>
      </c>
      <c r="L34" s="2">
        <v>4</v>
      </c>
      <c r="M34" s="2">
        <v>4</v>
      </c>
      <c r="N34" s="2">
        <v>1</v>
      </c>
    </row>
    <row r="35" spans="1:14" x14ac:dyDescent="0.25">
      <c r="A35" s="2">
        <v>3</v>
      </c>
      <c r="B35" s="2">
        <v>2</v>
      </c>
      <c r="C35" s="2">
        <v>2</v>
      </c>
      <c r="D35" s="2">
        <v>2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3</v>
      </c>
      <c r="M35" s="2">
        <v>2</v>
      </c>
      <c r="N35" s="2">
        <v>4</v>
      </c>
    </row>
    <row r="36" spans="1:14" x14ac:dyDescent="0.25">
      <c r="A36" s="2">
        <v>5</v>
      </c>
      <c r="B36" s="2">
        <v>1</v>
      </c>
      <c r="C36" s="2">
        <v>5</v>
      </c>
      <c r="D36" s="2">
        <v>5</v>
      </c>
      <c r="E36" s="2">
        <v>1</v>
      </c>
      <c r="F36" s="2">
        <v>1</v>
      </c>
      <c r="G36" s="2">
        <v>4</v>
      </c>
      <c r="H36" s="2">
        <v>5</v>
      </c>
      <c r="I36" s="2">
        <v>1</v>
      </c>
      <c r="J36" s="2">
        <v>5</v>
      </c>
      <c r="K36" s="2">
        <v>1</v>
      </c>
      <c r="L36" s="2">
        <v>1</v>
      </c>
      <c r="M36" s="2">
        <v>5</v>
      </c>
      <c r="N36" s="2">
        <v>1</v>
      </c>
    </row>
    <row r="37" spans="1:14" x14ac:dyDescent="0.25">
      <c r="A37" s="2">
        <v>1</v>
      </c>
      <c r="B37" s="2">
        <v>5</v>
      </c>
      <c r="C37" s="2">
        <v>5</v>
      </c>
      <c r="D37" s="2">
        <v>5</v>
      </c>
      <c r="E37" s="2">
        <v>1</v>
      </c>
      <c r="F37" s="2">
        <v>1</v>
      </c>
      <c r="G37" s="2">
        <v>1</v>
      </c>
      <c r="H37" s="2">
        <v>5</v>
      </c>
      <c r="I37" s="2">
        <v>1</v>
      </c>
      <c r="J37" s="2">
        <v>5</v>
      </c>
      <c r="K37" s="2">
        <v>5</v>
      </c>
      <c r="L37" s="2">
        <v>4</v>
      </c>
      <c r="M37" s="2">
        <v>5</v>
      </c>
      <c r="N37" s="2">
        <v>2</v>
      </c>
    </row>
    <row r="38" spans="1:14" x14ac:dyDescent="0.25">
      <c r="A38" s="2">
        <v>4</v>
      </c>
      <c r="B38" s="2">
        <v>5</v>
      </c>
      <c r="C38" s="2">
        <v>4</v>
      </c>
      <c r="D38" s="2">
        <v>5</v>
      </c>
      <c r="E38" s="2">
        <v>1</v>
      </c>
      <c r="F38" s="2">
        <v>1</v>
      </c>
      <c r="G38" s="2">
        <v>1</v>
      </c>
      <c r="H38" s="2">
        <v>5</v>
      </c>
      <c r="I38" s="2">
        <v>1</v>
      </c>
      <c r="J38" s="2">
        <v>5</v>
      </c>
      <c r="K38" s="2">
        <v>5</v>
      </c>
      <c r="L38" s="2">
        <v>2</v>
      </c>
      <c r="M38" s="2">
        <v>2</v>
      </c>
      <c r="N38" s="2">
        <v>2</v>
      </c>
    </row>
    <row r="39" spans="1:14" x14ac:dyDescent="0.25">
      <c r="A39" s="2">
        <v>2</v>
      </c>
      <c r="B39" s="2">
        <v>3</v>
      </c>
      <c r="C39" s="2">
        <v>2</v>
      </c>
      <c r="D39" s="2">
        <v>2</v>
      </c>
      <c r="E39" s="2">
        <v>2</v>
      </c>
      <c r="F39" s="2">
        <v>2</v>
      </c>
      <c r="G39" s="2">
        <v>2</v>
      </c>
      <c r="H39" s="2">
        <v>4</v>
      </c>
      <c r="I39" s="2">
        <v>2</v>
      </c>
      <c r="J39" s="2">
        <v>2</v>
      </c>
      <c r="K39" s="2">
        <v>1</v>
      </c>
      <c r="L39" s="2">
        <v>1</v>
      </c>
      <c r="M39" s="2">
        <v>5</v>
      </c>
      <c r="N39" s="2">
        <v>1</v>
      </c>
    </row>
    <row r="40" spans="1:14" x14ac:dyDescent="0.25">
      <c r="A40" s="2">
        <v>1</v>
      </c>
      <c r="B40" s="2">
        <v>5</v>
      </c>
      <c r="C40" s="2">
        <v>5</v>
      </c>
      <c r="D40" s="2">
        <v>5</v>
      </c>
      <c r="E40" s="2">
        <v>1</v>
      </c>
      <c r="F40" s="2">
        <v>1</v>
      </c>
      <c r="G40" s="2">
        <v>1</v>
      </c>
      <c r="H40" s="2">
        <v>2</v>
      </c>
      <c r="I40" s="2">
        <v>3</v>
      </c>
      <c r="J40" s="2">
        <v>4</v>
      </c>
      <c r="K40" s="2">
        <v>4</v>
      </c>
      <c r="L40" s="2">
        <v>3</v>
      </c>
      <c r="M40" s="2">
        <v>2</v>
      </c>
      <c r="N40" s="2">
        <v>4</v>
      </c>
    </row>
    <row r="41" spans="1:14" x14ac:dyDescent="0.25">
      <c r="A41" s="2">
        <v>5</v>
      </c>
      <c r="B41" s="2">
        <v>5</v>
      </c>
      <c r="C41" s="2">
        <v>4</v>
      </c>
      <c r="D41" s="2">
        <v>5</v>
      </c>
      <c r="E41" s="2">
        <v>4</v>
      </c>
      <c r="F41" s="2">
        <v>2</v>
      </c>
      <c r="G41" s="2">
        <v>4</v>
      </c>
      <c r="H41" s="2">
        <v>5</v>
      </c>
      <c r="I41" s="2">
        <v>5</v>
      </c>
      <c r="J41" s="2">
        <v>5</v>
      </c>
      <c r="K41" s="2">
        <v>4</v>
      </c>
      <c r="L41" s="2">
        <v>1</v>
      </c>
      <c r="M41" s="2">
        <v>4</v>
      </c>
      <c r="N41" s="2">
        <v>1</v>
      </c>
    </row>
    <row r="42" spans="1:14" x14ac:dyDescent="0.25">
      <c r="A42" s="2">
        <v>4</v>
      </c>
      <c r="B42" s="2">
        <v>4</v>
      </c>
      <c r="C42" s="2">
        <v>4</v>
      </c>
      <c r="D42" s="2">
        <v>4</v>
      </c>
      <c r="E42" s="2">
        <v>1</v>
      </c>
      <c r="F42" s="2">
        <v>2</v>
      </c>
      <c r="G42" s="2">
        <v>3</v>
      </c>
      <c r="H42" s="2">
        <v>4</v>
      </c>
      <c r="I42" s="2">
        <v>5</v>
      </c>
      <c r="J42" s="2">
        <v>4</v>
      </c>
      <c r="K42" s="2">
        <v>5</v>
      </c>
      <c r="L42" s="2">
        <v>5</v>
      </c>
      <c r="M42" s="2">
        <v>1</v>
      </c>
      <c r="N42" s="2">
        <v>3</v>
      </c>
    </row>
    <row r="43" spans="1:14" x14ac:dyDescent="0.25">
      <c r="A43" s="2">
        <v>4</v>
      </c>
      <c r="B43" s="2">
        <v>4</v>
      </c>
      <c r="C43" s="2">
        <v>5</v>
      </c>
      <c r="D43" s="2">
        <v>3</v>
      </c>
      <c r="E43" s="2">
        <v>1</v>
      </c>
      <c r="F43" s="2">
        <v>3</v>
      </c>
      <c r="G43" s="2">
        <v>3</v>
      </c>
      <c r="H43" s="2">
        <v>3</v>
      </c>
      <c r="I43" s="2">
        <v>3</v>
      </c>
      <c r="J43" s="2">
        <v>4</v>
      </c>
      <c r="K43" s="2">
        <v>1</v>
      </c>
      <c r="L43" s="2">
        <v>3</v>
      </c>
      <c r="M43" s="2">
        <v>4</v>
      </c>
      <c r="N43" s="2">
        <v>4</v>
      </c>
    </row>
    <row r="44" spans="1:14" x14ac:dyDescent="0.25">
      <c r="A44" s="2">
        <v>3</v>
      </c>
      <c r="B44" s="2">
        <v>4</v>
      </c>
      <c r="C44" s="2">
        <v>5</v>
      </c>
      <c r="D44" s="2">
        <v>4</v>
      </c>
      <c r="E44" s="2">
        <v>1</v>
      </c>
      <c r="F44" s="2">
        <v>3</v>
      </c>
      <c r="G44" s="2">
        <v>1</v>
      </c>
      <c r="H44" s="2">
        <v>5</v>
      </c>
      <c r="I44" s="2">
        <v>4</v>
      </c>
      <c r="J44" s="2">
        <v>4</v>
      </c>
      <c r="K44" s="2">
        <v>4</v>
      </c>
      <c r="L44" s="2">
        <v>5</v>
      </c>
      <c r="M44" s="2">
        <v>4</v>
      </c>
      <c r="N44" s="2">
        <v>4</v>
      </c>
    </row>
    <row r="45" spans="1:14" x14ac:dyDescent="0.25">
      <c r="A45" s="2">
        <v>4</v>
      </c>
      <c r="B45" s="2">
        <v>3</v>
      </c>
      <c r="C45" s="2">
        <v>4</v>
      </c>
      <c r="D45" s="2">
        <v>2</v>
      </c>
      <c r="E45" s="2">
        <v>4</v>
      </c>
      <c r="F45" s="2">
        <v>1</v>
      </c>
      <c r="G45" s="2">
        <v>4</v>
      </c>
      <c r="H45" s="2">
        <v>5</v>
      </c>
      <c r="I45" s="2">
        <v>3</v>
      </c>
      <c r="J45" s="2">
        <v>4</v>
      </c>
      <c r="K45" s="2">
        <v>4</v>
      </c>
      <c r="L45" s="2">
        <v>1</v>
      </c>
      <c r="M45" s="2">
        <v>4</v>
      </c>
      <c r="N45" s="2">
        <v>1</v>
      </c>
    </row>
    <row r="46" spans="1:14" x14ac:dyDescent="0.25">
      <c r="A46" s="2">
        <v>5</v>
      </c>
      <c r="B46" s="2">
        <v>4</v>
      </c>
      <c r="C46" s="2">
        <v>5</v>
      </c>
      <c r="D46" s="2">
        <v>5</v>
      </c>
      <c r="E46" s="2">
        <v>3</v>
      </c>
      <c r="F46" s="2">
        <v>3</v>
      </c>
      <c r="G46" s="2">
        <v>4</v>
      </c>
      <c r="H46" s="2">
        <v>5</v>
      </c>
      <c r="I46" s="2">
        <v>1</v>
      </c>
      <c r="J46" s="2">
        <v>3</v>
      </c>
      <c r="K46" s="2">
        <v>3</v>
      </c>
      <c r="L46" s="2">
        <v>4</v>
      </c>
      <c r="M46" s="2">
        <v>5</v>
      </c>
      <c r="N46" s="2">
        <v>3</v>
      </c>
    </row>
    <row r="47" spans="1:14" x14ac:dyDescent="0.25">
      <c r="A47" s="2">
        <v>4</v>
      </c>
      <c r="B47" s="2">
        <v>5</v>
      </c>
      <c r="C47" s="2">
        <v>5</v>
      </c>
      <c r="D47" s="2">
        <v>4</v>
      </c>
      <c r="E47" s="2">
        <v>3</v>
      </c>
      <c r="F47" s="2">
        <v>3</v>
      </c>
      <c r="G47" s="2">
        <v>5</v>
      </c>
      <c r="H47" s="2">
        <v>3</v>
      </c>
      <c r="I47" s="2">
        <v>1</v>
      </c>
      <c r="J47" s="2">
        <v>4</v>
      </c>
      <c r="K47" s="2">
        <v>1</v>
      </c>
      <c r="L47" s="2">
        <v>4</v>
      </c>
      <c r="M47" s="2">
        <v>4</v>
      </c>
      <c r="N47" s="2">
        <v>1</v>
      </c>
    </row>
    <row r="48" spans="1:14" x14ac:dyDescent="0.25">
      <c r="A48" s="2">
        <v>2</v>
      </c>
      <c r="B48" s="2">
        <v>2</v>
      </c>
      <c r="C48" s="2">
        <v>2</v>
      </c>
      <c r="D48" s="2">
        <v>3</v>
      </c>
      <c r="E48" s="2">
        <v>4</v>
      </c>
      <c r="F48" s="2">
        <v>2</v>
      </c>
      <c r="G48" s="2">
        <v>1</v>
      </c>
      <c r="H48" s="2">
        <v>2</v>
      </c>
      <c r="I48" s="2">
        <v>1</v>
      </c>
      <c r="J48" s="2">
        <v>2</v>
      </c>
      <c r="K48" s="2">
        <v>2</v>
      </c>
      <c r="L48" s="2">
        <v>2</v>
      </c>
      <c r="M48" s="2">
        <v>4</v>
      </c>
      <c r="N48" s="2">
        <v>1</v>
      </c>
    </row>
    <row r="49" spans="1:14" x14ac:dyDescent="0.25">
      <c r="A49" s="2">
        <v>2</v>
      </c>
      <c r="B49" s="2">
        <v>2</v>
      </c>
      <c r="C49" s="2">
        <v>2</v>
      </c>
      <c r="D49" s="2">
        <v>2</v>
      </c>
      <c r="E49" s="2">
        <v>2</v>
      </c>
      <c r="F49" s="2">
        <v>4</v>
      </c>
      <c r="G49" s="2">
        <v>2</v>
      </c>
      <c r="H49" s="2">
        <v>5</v>
      </c>
      <c r="I49" s="2">
        <v>1</v>
      </c>
      <c r="J49" s="2">
        <v>4</v>
      </c>
      <c r="K49" s="2">
        <v>4</v>
      </c>
      <c r="L49" s="2">
        <v>2</v>
      </c>
      <c r="M49" s="2">
        <v>4</v>
      </c>
      <c r="N49" s="2">
        <v>4</v>
      </c>
    </row>
    <row r="50" spans="1:14" x14ac:dyDescent="0.25">
      <c r="A50" s="2">
        <v>5</v>
      </c>
      <c r="B50" s="2">
        <v>5</v>
      </c>
      <c r="C50" s="2">
        <v>5</v>
      </c>
      <c r="D50" s="2">
        <v>5</v>
      </c>
      <c r="E50" s="2">
        <v>1</v>
      </c>
      <c r="F50" s="2">
        <v>3</v>
      </c>
      <c r="G50" s="2">
        <v>3</v>
      </c>
      <c r="H50" s="2">
        <v>4</v>
      </c>
      <c r="I50" s="2">
        <v>4</v>
      </c>
      <c r="J50" s="2">
        <v>5</v>
      </c>
      <c r="K50" s="2">
        <v>4</v>
      </c>
      <c r="L50" s="2">
        <v>5</v>
      </c>
      <c r="M50" s="2">
        <v>5</v>
      </c>
      <c r="N50" s="2">
        <v>3</v>
      </c>
    </row>
    <row r="51" spans="1:14" x14ac:dyDescent="0.25">
      <c r="A51" s="2">
        <v>3</v>
      </c>
      <c r="B51" s="2">
        <v>3</v>
      </c>
      <c r="C51" s="2">
        <v>3</v>
      </c>
      <c r="D51" s="2">
        <v>3</v>
      </c>
      <c r="E51" s="2">
        <v>4</v>
      </c>
      <c r="F51" s="2">
        <v>4</v>
      </c>
      <c r="G51" s="2">
        <v>1</v>
      </c>
      <c r="H51" s="2">
        <v>4</v>
      </c>
      <c r="I51" s="2">
        <v>1</v>
      </c>
      <c r="J51" s="2">
        <v>4</v>
      </c>
      <c r="K51" s="2">
        <v>4</v>
      </c>
      <c r="L51" s="2">
        <v>1</v>
      </c>
      <c r="M51" s="2">
        <v>4</v>
      </c>
      <c r="N51" s="2">
        <v>1</v>
      </c>
    </row>
    <row r="52" spans="1:14" x14ac:dyDescent="0.25">
      <c r="A52" s="2">
        <v>4</v>
      </c>
      <c r="B52" s="2">
        <v>5</v>
      </c>
      <c r="C52" s="2">
        <v>5</v>
      </c>
      <c r="D52" s="2">
        <v>5</v>
      </c>
      <c r="E52" s="2">
        <v>3</v>
      </c>
      <c r="F52" s="2">
        <v>3</v>
      </c>
      <c r="G52" s="2">
        <v>3</v>
      </c>
      <c r="H52" s="2">
        <v>2</v>
      </c>
      <c r="I52" s="2">
        <v>3</v>
      </c>
      <c r="J52" s="2">
        <v>5</v>
      </c>
      <c r="K52" s="2">
        <v>2</v>
      </c>
      <c r="L52" s="2">
        <v>2</v>
      </c>
      <c r="M52" s="2">
        <v>3</v>
      </c>
      <c r="N52" s="2">
        <v>1</v>
      </c>
    </row>
    <row r="53" spans="1:14" x14ac:dyDescent="0.25">
      <c r="A53" s="2">
        <v>3</v>
      </c>
      <c r="B53" s="2">
        <v>5</v>
      </c>
      <c r="C53" s="2">
        <v>4</v>
      </c>
      <c r="D53" s="2">
        <v>5</v>
      </c>
      <c r="E53" s="2">
        <v>1</v>
      </c>
      <c r="F53" s="2">
        <v>3</v>
      </c>
      <c r="G53" s="2">
        <v>4</v>
      </c>
      <c r="H53" s="2">
        <v>4</v>
      </c>
      <c r="I53" s="2">
        <v>1</v>
      </c>
      <c r="J53" s="2">
        <v>4</v>
      </c>
      <c r="K53" s="2">
        <v>4</v>
      </c>
      <c r="L53" s="2">
        <v>1</v>
      </c>
      <c r="M53" s="2">
        <v>3</v>
      </c>
      <c r="N53" s="2">
        <v>1</v>
      </c>
    </row>
    <row r="54" spans="1:14" x14ac:dyDescent="0.25">
      <c r="A54" s="2">
        <v>3</v>
      </c>
      <c r="B54" s="2">
        <v>4</v>
      </c>
      <c r="C54" s="2">
        <v>4</v>
      </c>
      <c r="D54" s="2">
        <v>4</v>
      </c>
      <c r="E54" s="2">
        <v>4</v>
      </c>
      <c r="F54" s="2">
        <v>3</v>
      </c>
      <c r="G54" s="2">
        <v>3</v>
      </c>
      <c r="H54" s="2">
        <v>4</v>
      </c>
      <c r="I54" s="2">
        <v>1</v>
      </c>
      <c r="J54" s="2">
        <v>5</v>
      </c>
      <c r="K54" s="2">
        <v>1</v>
      </c>
      <c r="L54" s="2">
        <v>1</v>
      </c>
      <c r="M54" s="2">
        <v>5</v>
      </c>
      <c r="N54" s="2">
        <v>1</v>
      </c>
    </row>
    <row r="55" spans="1:14" x14ac:dyDescent="0.25">
      <c r="A55" s="2">
        <v>5</v>
      </c>
      <c r="B55" s="2">
        <v>4</v>
      </c>
      <c r="C55" s="2">
        <v>4</v>
      </c>
      <c r="D55" s="2">
        <v>4</v>
      </c>
      <c r="E55" s="2">
        <v>3</v>
      </c>
      <c r="F55" s="2">
        <v>3</v>
      </c>
      <c r="G55" s="2">
        <v>3</v>
      </c>
      <c r="H55" s="2">
        <v>4</v>
      </c>
      <c r="I55" s="2">
        <v>1</v>
      </c>
      <c r="J55" s="2">
        <v>5</v>
      </c>
      <c r="K55" s="2">
        <v>2</v>
      </c>
      <c r="L55" s="2">
        <v>3</v>
      </c>
      <c r="M55" s="2">
        <v>3</v>
      </c>
      <c r="N55" s="2">
        <v>3</v>
      </c>
    </row>
    <row r="56" spans="1:14" x14ac:dyDescent="0.25">
      <c r="A56" s="2">
        <v>5</v>
      </c>
      <c r="B56" s="2">
        <v>3</v>
      </c>
      <c r="C56" s="2">
        <v>4</v>
      </c>
      <c r="D56" s="2">
        <v>4</v>
      </c>
      <c r="E56" s="2">
        <v>4</v>
      </c>
      <c r="F56" s="2">
        <v>4</v>
      </c>
      <c r="G56" s="2">
        <v>3</v>
      </c>
      <c r="H56" s="2">
        <v>3</v>
      </c>
      <c r="I56" s="2">
        <v>3</v>
      </c>
      <c r="J56" s="2">
        <v>4</v>
      </c>
      <c r="K56" s="2">
        <v>3</v>
      </c>
      <c r="L56" s="2">
        <v>4</v>
      </c>
      <c r="M56" s="2">
        <v>4</v>
      </c>
      <c r="N56" s="2">
        <v>1</v>
      </c>
    </row>
    <row r="57" spans="1:14" x14ac:dyDescent="0.25">
      <c r="A57" s="2">
        <v>5</v>
      </c>
      <c r="B57" s="2">
        <v>4</v>
      </c>
      <c r="C57" s="2">
        <v>4</v>
      </c>
      <c r="D57" s="2">
        <v>2</v>
      </c>
      <c r="E57" s="2">
        <v>2</v>
      </c>
      <c r="F57" s="2">
        <v>2</v>
      </c>
      <c r="G57" s="2">
        <v>4</v>
      </c>
      <c r="H57" s="2">
        <v>5</v>
      </c>
      <c r="I57" s="2">
        <v>3</v>
      </c>
      <c r="J57" s="2">
        <v>5</v>
      </c>
      <c r="K57" s="2">
        <v>1</v>
      </c>
      <c r="L57" s="2">
        <v>2</v>
      </c>
      <c r="M57" s="2">
        <v>4</v>
      </c>
      <c r="N57" s="2">
        <v>2</v>
      </c>
    </row>
    <row r="58" spans="1:14" x14ac:dyDescent="0.25">
      <c r="A58" s="2">
        <v>5</v>
      </c>
      <c r="B58" s="2">
        <v>4</v>
      </c>
      <c r="C58" s="2">
        <v>4</v>
      </c>
      <c r="D58" s="2">
        <v>4</v>
      </c>
      <c r="E58" s="2">
        <v>3</v>
      </c>
      <c r="F58" s="2">
        <v>3</v>
      </c>
      <c r="G58" s="2">
        <v>3</v>
      </c>
      <c r="H58" s="2">
        <v>4</v>
      </c>
      <c r="I58" s="2">
        <v>1</v>
      </c>
      <c r="J58" s="2">
        <v>3</v>
      </c>
      <c r="K58" s="2">
        <v>3</v>
      </c>
      <c r="L58" s="2">
        <v>1</v>
      </c>
      <c r="M58" s="2">
        <v>4</v>
      </c>
      <c r="N58" s="2">
        <v>4</v>
      </c>
    </row>
    <row r="59" spans="1:14" x14ac:dyDescent="0.25">
      <c r="A59" s="2">
        <v>5</v>
      </c>
      <c r="B59" s="2">
        <v>5</v>
      </c>
      <c r="C59" s="2">
        <v>5</v>
      </c>
      <c r="D59" s="2">
        <v>5</v>
      </c>
      <c r="E59" s="2">
        <v>4</v>
      </c>
      <c r="F59" s="2">
        <v>4</v>
      </c>
      <c r="G59" s="2">
        <v>4</v>
      </c>
      <c r="H59" s="2">
        <v>5</v>
      </c>
      <c r="I59" s="2">
        <v>1</v>
      </c>
      <c r="J59" s="2">
        <v>5</v>
      </c>
      <c r="K59" s="2">
        <v>1</v>
      </c>
      <c r="L59" s="2">
        <v>1</v>
      </c>
      <c r="M59" s="2">
        <v>4</v>
      </c>
      <c r="N59" s="2">
        <v>1</v>
      </c>
    </row>
    <row r="60" spans="1:14" x14ac:dyDescent="0.25">
      <c r="A60" s="2">
        <v>4</v>
      </c>
      <c r="B60" s="2">
        <v>5</v>
      </c>
      <c r="C60" s="2">
        <v>3</v>
      </c>
      <c r="D60" s="2">
        <v>5</v>
      </c>
      <c r="E60" s="2">
        <v>4</v>
      </c>
      <c r="F60" s="2">
        <v>4</v>
      </c>
      <c r="G60" s="2">
        <v>3</v>
      </c>
      <c r="H60" s="2">
        <v>4</v>
      </c>
      <c r="I60" s="2">
        <v>3</v>
      </c>
      <c r="J60" s="2">
        <v>3</v>
      </c>
      <c r="K60" s="2">
        <v>1</v>
      </c>
      <c r="L60" s="2">
        <v>1</v>
      </c>
      <c r="M60" s="2">
        <v>4</v>
      </c>
      <c r="N60" s="2">
        <v>3</v>
      </c>
    </row>
    <row r="61" spans="1:14" x14ac:dyDescent="0.25">
      <c r="A61" s="2">
        <v>5</v>
      </c>
      <c r="B61" s="2">
        <v>3</v>
      </c>
      <c r="C61" s="2">
        <v>3</v>
      </c>
      <c r="D61" s="2">
        <v>3</v>
      </c>
      <c r="E61" s="2">
        <v>2</v>
      </c>
      <c r="F61" s="2">
        <v>4</v>
      </c>
      <c r="G61" s="2">
        <v>3</v>
      </c>
      <c r="H61" s="2">
        <v>4</v>
      </c>
      <c r="I61" s="2">
        <v>4</v>
      </c>
      <c r="J61" s="2">
        <v>4</v>
      </c>
      <c r="K61" s="2">
        <v>1</v>
      </c>
      <c r="L61" s="2">
        <v>4</v>
      </c>
      <c r="M61" s="2">
        <v>4</v>
      </c>
      <c r="N61" s="2">
        <v>3</v>
      </c>
    </row>
    <row r="62" spans="1:14" x14ac:dyDescent="0.25">
      <c r="A62" s="2">
        <v>5</v>
      </c>
      <c r="B62" s="2">
        <v>4</v>
      </c>
      <c r="C62" s="2">
        <v>4</v>
      </c>
      <c r="D62" s="2">
        <v>4</v>
      </c>
      <c r="E62" s="2">
        <v>3</v>
      </c>
      <c r="F62" s="2">
        <v>3</v>
      </c>
      <c r="G62" s="2">
        <v>3</v>
      </c>
      <c r="H62" s="2">
        <v>4</v>
      </c>
      <c r="I62" s="2">
        <v>1</v>
      </c>
      <c r="J62" s="2">
        <v>5</v>
      </c>
      <c r="K62" s="2">
        <v>3</v>
      </c>
      <c r="L62" s="2">
        <v>4</v>
      </c>
      <c r="M62" s="2">
        <v>4</v>
      </c>
      <c r="N62" s="2">
        <v>1</v>
      </c>
    </row>
    <row r="63" spans="1:14" x14ac:dyDescent="0.25">
      <c r="A63" s="2">
        <v>3</v>
      </c>
      <c r="B63" s="2">
        <v>2</v>
      </c>
      <c r="C63" s="2">
        <v>2</v>
      </c>
      <c r="D63" s="2">
        <v>2</v>
      </c>
      <c r="E63" s="2">
        <v>2</v>
      </c>
      <c r="F63" s="2">
        <v>2</v>
      </c>
      <c r="G63" s="2">
        <v>2</v>
      </c>
      <c r="H63" s="2">
        <v>2</v>
      </c>
      <c r="I63" s="2">
        <v>5</v>
      </c>
      <c r="J63" s="2">
        <v>2</v>
      </c>
      <c r="K63" s="2">
        <v>2</v>
      </c>
      <c r="L63" s="2">
        <v>3</v>
      </c>
      <c r="M63" s="2">
        <v>2</v>
      </c>
      <c r="N63" s="2">
        <v>4</v>
      </c>
    </row>
    <row r="64" spans="1:14" x14ac:dyDescent="0.25">
      <c r="A64" s="2">
        <v>5</v>
      </c>
      <c r="B64" s="2">
        <v>1</v>
      </c>
      <c r="C64" s="2">
        <v>5</v>
      </c>
      <c r="D64" s="2">
        <v>5</v>
      </c>
      <c r="E64" s="2">
        <v>1</v>
      </c>
      <c r="F64" s="2">
        <v>5</v>
      </c>
      <c r="G64" s="2">
        <v>4</v>
      </c>
      <c r="H64" s="2">
        <v>5</v>
      </c>
      <c r="I64" s="2">
        <v>1</v>
      </c>
      <c r="J64" s="2">
        <v>5</v>
      </c>
      <c r="K64" s="2">
        <v>1</v>
      </c>
      <c r="L64" s="2">
        <v>1</v>
      </c>
      <c r="M64" s="2">
        <v>5</v>
      </c>
      <c r="N64" s="2">
        <v>1</v>
      </c>
    </row>
    <row r="65" spans="1:14" x14ac:dyDescent="0.25">
      <c r="A65" s="2">
        <v>1</v>
      </c>
      <c r="B65" s="2">
        <v>5</v>
      </c>
      <c r="C65" s="2">
        <v>5</v>
      </c>
      <c r="D65" s="2">
        <v>5</v>
      </c>
      <c r="E65" s="2">
        <v>1</v>
      </c>
      <c r="F65" s="2">
        <v>5</v>
      </c>
      <c r="G65" s="2">
        <v>1</v>
      </c>
      <c r="H65" s="2">
        <v>5</v>
      </c>
      <c r="I65" s="2">
        <v>5</v>
      </c>
      <c r="J65" s="2">
        <v>5</v>
      </c>
      <c r="K65" s="2">
        <v>1</v>
      </c>
      <c r="L65" s="2">
        <v>4</v>
      </c>
      <c r="M65" s="2">
        <v>5</v>
      </c>
      <c r="N65" s="2">
        <v>2</v>
      </c>
    </row>
    <row r="66" spans="1:14" x14ac:dyDescent="0.25">
      <c r="A66" s="2">
        <v>4</v>
      </c>
      <c r="B66" s="2">
        <v>5</v>
      </c>
      <c r="C66" s="2">
        <v>4</v>
      </c>
      <c r="D66" s="2">
        <v>5</v>
      </c>
      <c r="E66" s="2">
        <v>1</v>
      </c>
      <c r="F66" s="2">
        <v>5</v>
      </c>
      <c r="G66" s="2">
        <v>5</v>
      </c>
      <c r="H66" s="2">
        <v>5</v>
      </c>
      <c r="I66" s="2">
        <v>1</v>
      </c>
      <c r="J66" s="2">
        <v>5</v>
      </c>
      <c r="K66" s="2">
        <v>1</v>
      </c>
      <c r="L66" s="2">
        <v>2</v>
      </c>
      <c r="M66" s="2">
        <v>2</v>
      </c>
      <c r="N66" s="2">
        <v>2</v>
      </c>
    </row>
    <row r="67" spans="1:14" x14ac:dyDescent="0.25">
      <c r="A67" s="2">
        <v>2</v>
      </c>
      <c r="B67" s="2">
        <v>3</v>
      </c>
      <c r="C67" s="2">
        <v>2</v>
      </c>
      <c r="D67" s="2">
        <v>2</v>
      </c>
      <c r="E67" s="2">
        <v>2</v>
      </c>
      <c r="F67" s="2">
        <v>2</v>
      </c>
      <c r="G67" s="2">
        <v>2</v>
      </c>
      <c r="H67" s="2">
        <v>4</v>
      </c>
      <c r="I67" s="2">
        <v>2</v>
      </c>
      <c r="J67" s="2">
        <v>2</v>
      </c>
      <c r="K67" s="2">
        <v>1</v>
      </c>
      <c r="L67" s="2">
        <v>1</v>
      </c>
      <c r="M67" s="2">
        <v>5</v>
      </c>
      <c r="N67" s="2">
        <v>1</v>
      </c>
    </row>
    <row r="68" spans="1:14" x14ac:dyDescent="0.25">
      <c r="A68" s="2">
        <v>1</v>
      </c>
      <c r="B68" s="2">
        <v>5</v>
      </c>
      <c r="C68" s="2">
        <v>5</v>
      </c>
      <c r="D68" s="2">
        <v>5</v>
      </c>
      <c r="E68" s="2">
        <v>1</v>
      </c>
      <c r="F68" s="2">
        <v>1</v>
      </c>
      <c r="G68" s="2">
        <v>1</v>
      </c>
      <c r="H68" s="2">
        <v>2</v>
      </c>
      <c r="I68" s="2">
        <v>3</v>
      </c>
      <c r="J68" s="2">
        <v>4</v>
      </c>
      <c r="K68" s="2">
        <v>4</v>
      </c>
      <c r="L68" s="2">
        <v>3</v>
      </c>
      <c r="M68" s="2">
        <v>2</v>
      </c>
      <c r="N68" s="2">
        <v>4</v>
      </c>
    </row>
    <row r="69" spans="1:14" x14ac:dyDescent="0.25">
      <c r="A69" s="2">
        <v>5</v>
      </c>
      <c r="B69" s="2">
        <v>5</v>
      </c>
      <c r="C69" s="2">
        <v>4</v>
      </c>
      <c r="D69" s="2">
        <v>5</v>
      </c>
      <c r="E69" s="2">
        <v>4</v>
      </c>
      <c r="F69" s="2">
        <v>2</v>
      </c>
      <c r="G69" s="2">
        <v>4</v>
      </c>
      <c r="H69" s="2">
        <v>5</v>
      </c>
      <c r="I69" s="2">
        <v>1</v>
      </c>
      <c r="J69" s="2">
        <v>5</v>
      </c>
      <c r="K69" s="2">
        <v>4</v>
      </c>
      <c r="L69" s="2">
        <v>1</v>
      </c>
      <c r="M69" s="2">
        <v>4</v>
      </c>
      <c r="N69" s="2">
        <v>1</v>
      </c>
    </row>
    <row r="70" spans="1:14" x14ac:dyDescent="0.25">
      <c r="A70" s="2">
        <v>4</v>
      </c>
      <c r="B70" s="2">
        <v>4</v>
      </c>
      <c r="C70" s="2">
        <v>4</v>
      </c>
      <c r="D70" s="2">
        <v>4</v>
      </c>
      <c r="E70" s="2">
        <v>1</v>
      </c>
      <c r="F70" s="2">
        <v>2</v>
      </c>
      <c r="G70" s="2">
        <v>3</v>
      </c>
      <c r="H70" s="2">
        <v>4</v>
      </c>
      <c r="I70" s="2">
        <v>3</v>
      </c>
      <c r="J70" s="2">
        <v>4</v>
      </c>
      <c r="K70" s="2">
        <v>1</v>
      </c>
      <c r="L70" s="2">
        <v>1</v>
      </c>
      <c r="M70" s="2">
        <v>1</v>
      </c>
      <c r="N70" s="2">
        <v>3</v>
      </c>
    </row>
    <row r="71" spans="1:14" x14ac:dyDescent="0.25">
      <c r="A71" s="2">
        <v>4</v>
      </c>
      <c r="B71" s="2">
        <v>4</v>
      </c>
      <c r="C71" s="2">
        <v>5</v>
      </c>
      <c r="D71" s="2">
        <v>3</v>
      </c>
      <c r="E71" s="2">
        <v>1</v>
      </c>
      <c r="F71" s="2">
        <v>3</v>
      </c>
      <c r="G71" s="2">
        <v>3</v>
      </c>
      <c r="H71" s="2">
        <v>3</v>
      </c>
      <c r="I71" s="2">
        <v>3</v>
      </c>
      <c r="J71" s="2">
        <v>4</v>
      </c>
      <c r="K71" s="2">
        <v>1</v>
      </c>
      <c r="L71" s="2">
        <v>3</v>
      </c>
      <c r="M71" s="2">
        <v>4</v>
      </c>
      <c r="N71" s="2">
        <v>4</v>
      </c>
    </row>
    <row r="72" spans="1:14" x14ac:dyDescent="0.25">
      <c r="A72" s="2">
        <v>3</v>
      </c>
      <c r="B72" s="2">
        <v>4</v>
      </c>
      <c r="C72" s="2">
        <v>5</v>
      </c>
      <c r="D72" s="2">
        <v>4</v>
      </c>
      <c r="E72" s="2">
        <v>1</v>
      </c>
      <c r="F72" s="2">
        <v>3</v>
      </c>
      <c r="G72" s="2">
        <v>1</v>
      </c>
      <c r="H72" s="2">
        <v>5</v>
      </c>
      <c r="I72" s="2">
        <v>4</v>
      </c>
      <c r="J72" s="2">
        <v>4</v>
      </c>
      <c r="K72" s="2">
        <v>4</v>
      </c>
      <c r="L72" s="2">
        <v>1</v>
      </c>
      <c r="M72" s="2">
        <v>4</v>
      </c>
      <c r="N72" s="2">
        <v>4</v>
      </c>
    </row>
    <row r="73" spans="1:14" x14ac:dyDescent="0.25">
      <c r="A73" s="2">
        <v>4</v>
      </c>
      <c r="B73" s="2">
        <v>3</v>
      </c>
      <c r="C73" s="2">
        <v>4</v>
      </c>
      <c r="D73" s="2">
        <v>2</v>
      </c>
      <c r="E73" s="2">
        <v>4</v>
      </c>
      <c r="F73" s="2">
        <v>5</v>
      </c>
      <c r="G73" s="2">
        <v>4</v>
      </c>
      <c r="H73" s="2">
        <v>5</v>
      </c>
      <c r="I73" s="2">
        <v>3</v>
      </c>
      <c r="J73" s="2">
        <v>4</v>
      </c>
      <c r="K73" s="2">
        <v>4</v>
      </c>
      <c r="L73" s="2">
        <v>1</v>
      </c>
      <c r="M73" s="2">
        <v>4</v>
      </c>
      <c r="N73" s="2">
        <v>1</v>
      </c>
    </row>
    <row r="74" spans="1:14" x14ac:dyDescent="0.25">
      <c r="A74" s="2">
        <v>5</v>
      </c>
      <c r="B74" s="2">
        <v>4</v>
      </c>
      <c r="C74" s="2">
        <v>5</v>
      </c>
      <c r="D74" s="2">
        <v>5</v>
      </c>
      <c r="E74" s="2">
        <v>3</v>
      </c>
      <c r="F74" s="2">
        <v>3</v>
      </c>
      <c r="G74" s="2">
        <v>4</v>
      </c>
      <c r="H74" s="2">
        <v>5</v>
      </c>
      <c r="I74" s="2">
        <v>1</v>
      </c>
      <c r="J74" s="2">
        <v>3</v>
      </c>
      <c r="K74" s="2">
        <v>3</v>
      </c>
      <c r="L74" s="2">
        <v>4</v>
      </c>
      <c r="M74" s="2">
        <v>5</v>
      </c>
      <c r="N74" s="2">
        <v>3</v>
      </c>
    </row>
    <row r="75" spans="1:14" x14ac:dyDescent="0.25">
      <c r="A75" s="2">
        <v>4</v>
      </c>
      <c r="B75" s="2">
        <v>5</v>
      </c>
      <c r="C75" s="2">
        <v>5</v>
      </c>
      <c r="D75" s="2">
        <v>4</v>
      </c>
      <c r="E75" s="2">
        <v>3</v>
      </c>
      <c r="F75" s="2">
        <v>3</v>
      </c>
      <c r="G75" s="2">
        <v>5</v>
      </c>
      <c r="H75" s="2">
        <v>3</v>
      </c>
      <c r="I75" s="2">
        <v>5</v>
      </c>
      <c r="J75" s="2">
        <v>4</v>
      </c>
      <c r="K75" s="2">
        <v>1</v>
      </c>
      <c r="L75" s="2">
        <v>4</v>
      </c>
      <c r="M75" s="2">
        <v>4</v>
      </c>
      <c r="N75" s="2">
        <v>1</v>
      </c>
    </row>
    <row r="76" spans="1:14" x14ac:dyDescent="0.25">
      <c r="A76" s="2">
        <v>2</v>
      </c>
      <c r="B76" s="2">
        <v>2</v>
      </c>
      <c r="C76" s="2">
        <v>2</v>
      </c>
      <c r="D76" s="2">
        <v>3</v>
      </c>
      <c r="E76" s="2">
        <v>4</v>
      </c>
      <c r="F76" s="2">
        <v>2</v>
      </c>
      <c r="G76" s="2">
        <v>5</v>
      </c>
      <c r="H76" s="2">
        <v>2</v>
      </c>
      <c r="I76" s="2">
        <v>5</v>
      </c>
      <c r="J76" s="2">
        <v>2</v>
      </c>
      <c r="K76" s="2">
        <v>2</v>
      </c>
      <c r="L76" s="2">
        <v>2</v>
      </c>
      <c r="M76" s="2">
        <v>4</v>
      </c>
      <c r="N76" s="2">
        <v>1</v>
      </c>
    </row>
    <row r="77" spans="1:14" x14ac:dyDescent="0.25">
      <c r="A77" s="2">
        <v>2</v>
      </c>
      <c r="B77" s="2">
        <v>2</v>
      </c>
      <c r="C77" s="2">
        <v>2</v>
      </c>
      <c r="D77" s="2">
        <v>2</v>
      </c>
      <c r="E77" s="2">
        <v>2</v>
      </c>
      <c r="F77" s="2">
        <v>4</v>
      </c>
      <c r="G77" s="2">
        <v>2</v>
      </c>
      <c r="H77" s="2">
        <v>5</v>
      </c>
      <c r="I77" s="2">
        <v>1</v>
      </c>
      <c r="J77" s="2">
        <v>4</v>
      </c>
      <c r="K77" s="2">
        <v>4</v>
      </c>
      <c r="L77" s="2">
        <v>2</v>
      </c>
      <c r="M77" s="2">
        <v>4</v>
      </c>
      <c r="N77" s="2">
        <v>4</v>
      </c>
    </row>
    <row r="78" spans="1:14" x14ac:dyDescent="0.25">
      <c r="A78" s="2">
        <v>5</v>
      </c>
      <c r="B78" s="2">
        <v>5</v>
      </c>
      <c r="C78" s="2">
        <v>5</v>
      </c>
      <c r="D78" s="2">
        <v>5</v>
      </c>
      <c r="E78" s="2">
        <v>5</v>
      </c>
      <c r="F78" s="2">
        <v>3</v>
      </c>
      <c r="G78" s="2">
        <v>3</v>
      </c>
      <c r="H78" s="2">
        <v>4</v>
      </c>
      <c r="I78" s="2">
        <v>4</v>
      </c>
      <c r="J78" s="2">
        <v>5</v>
      </c>
      <c r="K78" s="2">
        <v>4</v>
      </c>
      <c r="L78" s="2">
        <v>1</v>
      </c>
      <c r="M78" s="2">
        <v>5</v>
      </c>
      <c r="N78" s="2">
        <v>3</v>
      </c>
    </row>
    <row r="79" spans="1:14" x14ac:dyDescent="0.25">
      <c r="A79" s="2">
        <v>3</v>
      </c>
      <c r="B79" s="2">
        <v>3</v>
      </c>
      <c r="C79" s="2">
        <v>3</v>
      </c>
      <c r="D79" s="2">
        <v>3</v>
      </c>
      <c r="E79" s="2">
        <v>4</v>
      </c>
      <c r="F79" s="2">
        <v>4</v>
      </c>
      <c r="G79" s="2">
        <v>1</v>
      </c>
      <c r="H79" s="2">
        <v>4</v>
      </c>
      <c r="I79" s="2">
        <v>1</v>
      </c>
      <c r="J79" s="2">
        <v>4</v>
      </c>
      <c r="K79" s="2">
        <v>4</v>
      </c>
      <c r="L79" s="2">
        <v>1</v>
      </c>
      <c r="M79" s="2">
        <v>4</v>
      </c>
      <c r="N79" s="2">
        <v>1</v>
      </c>
    </row>
    <row r="80" spans="1:14" x14ac:dyDescent="0.25">
      <c r="A80" s="2">
        <v>4</v>
      </c>
      <c r="B80" s="2">
        <v>5</v>
      </c>
      <c r="C80" s="2">
        <v>5</v>
      </c>
      <c r="D80" s="2">
        <v>5</v>
      </c>
      <c r="E80" s="2">
        <v>3</v>
      </c>
      <c r="F80" s="2">
        <v>3</v>
      </c>
      <c r="G80" s="2">
        <v>3</v>
      </c>
      <c r="H80" s="2">
        <v>2</v>
      </c>
      <c r="I80" s="2">
        <v>3</v>
      </c>
      <c r="J80" s="2">
        <v>5</v>
      </c>
      <c r="K80" s="2">
        <v>2</v>
      </c>
      <c r="L80" s="2">
        <v>2</v>
      </c>
      <c r="M80" s="2">
        <v>3</v>
      </c>
      <c r="N80" s="2">
        <v>1</v>
      </c>
    </row>
    <row r="81" spans="1:14" x14ac:dyDescent="0.25">
      <c r="A81" s="2">
        <v>3</v>
      </c>
      <c r="B81" s="2">
        <v>5</v>
      </c>
      <c r="C81" s="2">
        <v>4</v>
      </c>
      <c r="D81" s="2">
        <v>5</v>
      </c>
      <c r="E81" s="2">
        <v>5</v>
      </c>
      <c r="F81" s="2">
        <v>3</v>
      </c>
      <c r="G81" s="2">
        <v>4</v>
      </c>
      <c r="H81" s="2">
        <v>4</v>
      </c>
      <c r="I81" s="2">
        <v>1</v>
      </c>
      <c r="J81" s="2">
        <v>4</v>
      </c>
      <c r="K81" s="2">
        <v>4</v>
      </c>
      <c r="L81" s="2">
        <v>1</v>
      </c>
      <c r="M81" s="2">
        <v>3</v>
      </c>
      <c r="N81" s="2">
        <v>1</v>
      </c>
    </row>
    <row r="82" spans="1:14" x14ac:dyDescent="0.25">
      <c r="A82" s="2">
        <v>3</v>
      </c>
      <c r="B82" s="2">
        <v>4</v>
      </c>
      <c r="C82" s="2">
        <v>4</v>
      </c>
      <c r="D82" s="2">
        <v>4</v>
      </c>
      <c r="E82" s="2">
        <v>4</v>
      </c>
      <c r="F82" s="2">
        <v>3</v>
      </c>
      <c r="G82" s="2">
        <v>3</v>
      </c>
      <c r="H82" s="2">
        <v>4</v>
      </c>
      <c r="I82" s="2">
        <v>5</v>
      </c>
      <c r="J82" s="2">
        <v>3</v>
      </c>
      <c r="K82" s="2">
        <v>1</v>
      </c>
      <c r="L82" s="2">
        <v>1</v>
      </c>
      <c r="M82" s="2">
        <v>5</v>
      </c>
      <c r="N82" s="2">
        <v>1</v>
      </c>
    </row>
    <row r="83" spans="1:14" x14ac:dyDescent="0.25">
      <c r="A83" s="2">
        <v>5</v>
      </c>
      <c r="B83" s="2">
        <v>4</v>
      </c>
      <c r="C83" s="2">
        <v>4</v>
      </c>
      <c r="D83" s="2">
        <v>4</v>
      </c>
      <c r="E83" s="2">
        <v>3</v>
      </c>
      <c r="F83" s="2">
        <v>3</v>
      </c>
      <c r="G83" s="2">
        <v>3</v>
      </c>
      <c r="H83" s="2">
        <v>4</v>
      </c>
      <c r="I83" s="2">
        <v>5</v>
      </c>
      <c r="J83" s="2">
        <v>5</v>
      </c>
      <c r="K83" s="2">
        <v>2</v>
      </c>
      <c r="L83" s="2">
        <v>3</v>
      </c>
      <c r="M83" s="2">
        <v>3</v>
      </c>
      <c r="N83" s="2">
        <v>3</v>
      </c>
    </row>
    <row r="84" spans="1:14" x14ac:dyDescent="0.25">
      <c r="A84" s="2">
        <v>5</v>
      </c>
      <c r="B84" s="2">
        <v>3</v>
      </c>
      <c r="C84" s="2">
        <v>4</v>
      </c>
      <c r="D84" s="2">
        <v>4</v>
      </c>
      <c r="E84" s="2">
        <v>4</v>
      </c>
      <c r="F84" s="2">
        <v>4</v>
      </c>
      <c r="G84" s="2">
        <v>3</v>
      </c>
      <c r="H84" s="2">
        <v>3</v>
      </c>
      <c r="I84" s="2">
        <v>3</v>
      </c>
      <c r="J84" s="2">
        <v>4</v>
      </c>
      <c r="K84" s="2">
        <v>3</v>
      </c>
      <c r="L84" s="2">
        <v>4</v>
      </c>
      <c r="M84" s="2">
        <v>4</v>
      </c>
      <c r="N84" s="2">
        <v>1</v>
      </c>
    </row>
    <row r="85" spans="1:14" x14ac:dyDescent="0.25">
      <c r="A85" s="2">
        <v>5</v>
      </c>
      <c r="B85" s="2">
        <v>4</v>
      </c>
      <c r="C85" s="2">
        <v>4</v>
      </c>
      <c r="D85" s="2">
        <v>2</v>
      </c>
      <c r="E85" s="2">
        <v>2</v>
      </c>
      <c r="F85" s="2">
        <v>2</v>
      </c>
      <c r="G85" s="2">
        <v>4</v>
      </c>
      <c r="H85" s="2">
        <v>5</v>
      </c>
      <c r="I85" s="2">
        <v>3</v>
      </c>
      <c r="J85" s="2">
        <v>5</v>
      </c>
      <c r="K85" s="2">
        <v>1</v>
      </c>
      <c r="L85" s="2">
        <v>2</v>
      </c>
      <c r="M85" s="2">
        <v>4</v>
      </c>
      <c r="N85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CE97-CEE9-4891-B83C-FC3F3917E598}">
  <dimension ref="D8:K22"/>
  <sheetViews>
    <sheetView workbookViewId="0">
      <selection activeCell="M30" sqref="M30"/>
    </sheetView>
  </sheetViews>
  <sheetFormatPr defaultRowHeight="15" x14ac:dyDescent="0.25"/>
  <cols>
    <col min="4" max="4" width="47" bestFit="1" customWidth="1"/>
    <col min="5" max="5" width="13.28515625" customWidth="1"/>
    <col min="6" max="6" width="12.5703125" customWidth="1"/>
    <col min="10" max="10" width="10.85546875" customWidth="1"/>
  </cols>
  <sheetData>
    <row r="8" spans="4:11" ht="17.25" customHeight="1" x14ac:dyDescent="0.25">
      <c r="D8" s="4" t="s">
        <v>19</v>
      </c>
      <c r="E8" s="5" t="s">
        <v>20</v>
      </c>
      <c r="F8" s="5" t="s">
        <v>21</v>
      </c>
    </row>
    <row r="9" spans="4:11" ht="17.25" customHeight="1" x14ac:dyDescent="0.25">
      <c r="D9" s="4" t="str" cm="1">
        <f t="array" ref="D9:D22">TRANSPOSE(Data!A1:N1)</f>
        <v>1. Giá cả (Price)</v>
      </c>
      <c r="E9" s="6">
        <f>AVERAGE(INDEX(Data!$A:$N,0,ROW()-ROW($D$9)+1))</f>
        <v>3.7857142857142856</v>
      </c>
      <c r="F9" s="5" t="str">
        <f>IF(E9&gt;3,"Accept","Reject")</f>
        <v>Accept</v>
      </c>
    </row>
    <row r="10" spans="4:11" ht="17.25" customHeight="1" x14ac:dyDescent="0.25">
      <c r="D10" s="4" t="str">
        <v>2. Sức mạnh vi xử lý (CPU)</v>
      </c>
      <c r="E10" s="6">
        <f>AVERAGE(INDEX(Data!$A:$N,0,ROW()-ROW($D$9)+1))</f>
        <v>3.8571428571428572</v>
      </c>
      <c r="F10" s="5" t="str">
        <f t="shared" ref="F10:F22" si="0">IF(E10&gt;3,"Accept","Reject")</f>
        <v>Accept</v>
      </c>
    </row>
    <row r="11" spans="4:11" ht="17.25" customHeight="1" x14ac:dyDescent="0.25">
      <c r="D11" s="4" t="str">
        <v>3. Dung lượng bộ nhớ (RAM)</v>
      </c>
      <c r="E11" s="6">
        <f>AVERAGE(INDEX(Data!$A:$N,0,ROW()-ROW($D$9)+1))</f>
        <v>3.9642857142857144</v>
      </c>
      <c r="F11" s="5" t="str">
        <f t="shared" si="0"/>
        <v>Accept</v>
      </c>
    </row>
    <row r="12" spans="4:11" ht="17.25" customHeight="1" x14ac:dyDescent="0.25">
      <c r="D12" s="4" t="str">
        <v>4. Không gian lưu trữ (SSD)</v>
      </c>
      <c r="E12" s="6">
        <f>AVERAGE(INDEX(Data!$A:$N,0,ROW()-ROW($D$9)+1))</f>
        <v>3.8928571428571428</v>
      </c>
      <c r="F12" s="5" t="str">
        <f t="shared" si="0"/>
        <v>Accept</v>
      </c>
      <c r="H12" s="3" t="s">
        <v>22</v>
      </c>
      <c r="I12" s="3"/>
      <c r="J12" s="3"/>
      <c r="K12" s="7">
        <f>COUNTIF(F9:F22,"Accept")</f>
        <v>7</v>
      </c>
    </row>
    <row r="13" spans="4:11" ht="17.25" customHeight="1" x14ac:dyDescent="0.25">
      <c r="D13" s="4" t="str">
        <v>5. Màn hình hiển thị (Display)</v>
      </c>
      <c r="E13" s="6">
        <f>AVERAGE(INDEX(Data!$A:$N,0,ROW()-ROW($D$9)+1))</f>
        <v>2.7976190476190474</v>
      </c>
      <c r="F13" s="5" t="str">
        <f t="shared" si="0"/>
        <v>Reject</v>
      </c>
    </row>
    <row r="14" spans="4:11" ht="17.25" customHeight="1" x14ac:dyDescent="0.25">
      <c r="D14" s="4" t="str">
        <v>6. Trải nghiệm bàn phím (Keyboard)</v>
      </c>
      <c r="E14" s="6">
        <f>AVERAGE(INDEX(Data!$A:$N,0,ROW()-ROW($D$9)+1))</f>
        <v>2.8809523809523809</v>
      </c>
      <c r="F14" s="5" t="str">
        <f t="shared" si="0"/>
        <v>Reject</v>
      </c>
    </row>
    <row r="15" spans="4:11" ht="17.25" customHeight="1" x14ac:dyDescent="0.25">
      <c r="D15" s="4" t="str">
        <v>7. Thiết kế và Vật liệu vỏ (Design &amp; Shell Material)</v>
      </c>
      <c r="E15" s="6">
        <f>AVERAGE(INDEX(Data!$A:$N,0,ROW()-ROW($D$9)+1))</f>
        <v>2.8333333333333335</v>
      </c>
      <c r="F15" s="5" t="str">
        <f t="shared" si="0"/>
        <v>Reject</v>
      </c>
    </row>
    <row r="16" spans="4:11" ht="17.25" customHeight="1" x14ac:dyDescent="0.25">
      <c r="D16" s="4" t="str">
        <v>8. Kích thước và Trọng lượng (Portability)</v>
      </c>
      <c r="E16" s="6">
        <f>AVERAGE(INDEX(Data!$A:$N,0,ROW()-ROW($D$9)+1))</f>
        <v>3.9642857142857144</v>
      </c>
      <c r="F16" s="5" t="str">
        <f t="shared" si="0"/>
        <v>Accept</v>
      </c>
    </row>
    <row r="17" spans="4:6" ht="17.25" customHeight="1" x14ac:dyDescent="0.25">
      <c r="D17" s="4" t="str">
        <v>9. Độ bền và Chống sốc (Durability)</v>
      </c>
      <c r="E17" s="6">
        <f>AVERAGE(INDEX(Data!$A:$N,0,ROW()-ROW($D$9)+1))</f>
        <v>2.3571428571428572</v>
      </c>
      <c r="F17" s="5" t="str">
        <f t="shared" si="0"/>
        <v>Reject</v>
      </c>
    </row>
    <row r="18" spans="4:6" ht="17.25" customHeight="1" x14ac:dyDescent="0.25">
      <c r="D18" s="4" t="str">
        <v>10. Thời lượng pin (Battery)</v>
      </c>
      <c r="E18" s="6">
        <f>AVERAGE(INDEX(Data!$A:$N,0,ROW()-ROW($D$9)+1))</f>
        <v>4.0238095238095237</v>
      </c>
      <c r="F18" s="5" t="str">
        <f t="shared" si="0"/>
        <v>Accept</v>
      </c>
    </row>
    <row r="19" spans="4:6" ht="17.25" customHeight="1" x14ac:dyDescent="0.25">
      <c r="D19" s="4" t="str">
        <v>11. Cổng kết nối đa dụng (Ports)</v>
      </c>
      <c r="E19" s="6">
        <f>AVERAGE(INDEX(Data!$A:$N,0,ROW()-ROW($D$9)+1))</f>
        <v>2.6666666666666665</v>
      </c>
      <c r="F19" s="5" t="str">
        <f t="shared" si="0"/>
        <v>Reject</v>
      </c>
    </row>
    <row r="20" spans="4:6" ht="17.25" customHeight="1" x14ac:dyDescent="0.25">
      <c r="D20" s="4" t="str">
        <v>12. Tương thích phần mềm (Software Compatibility)</v>
      </c>
      <c r="E20" s="6">
        <f>AVERAGE(INDEX(Data!$A:$N,0,ROW()-ROW($D$9)+1))</f>
        <v>2.5357142857142856</v>
      </c>
      <c r="F20" s="5" t="str">
        <f t="shared" si="0"/>
        <v>Reject</v>
      </c>
    </row>
    <row r="21" spans="4:6" ht="17.25" customHeight="1" x14ac:dyDescent="0.25">
      <c r="D21" s="4" t="str">
        <v>13. Thương hiệu (Brand)</v>
      </c>
      <c r="E21" s="6">
        <f>AVERAGE(INDEX(Data!$A:$N,0,ROW()-ROW($D$9)+1))</f>
        <v>3.7857142857142856</v>
      </c>
      <c r="F21" s="5" t="str">
        <f t="shared" si="0"/>
        <v>Accept</v>
      </c>
    </row>
    <row r="22" spans="4:6" ht="17.25" customHeight="1" x14ac:dyDescent="0.25">
      <c r="D22" s="4" t="str">
        <v>14. Bảo hành và Hậu mãi (After-sales)</v>
      </c>
      <c r="E22" s="6">
        <f>AVERAGE(INDEX(Data!$A:$N,0,ROW()-ROW($D$9)+1))</f>
        <v>2.3690476190476191</v>
      </c>
      <c r="F22" s="5" t="str">
        <f t="shared" si="0"/>
        <v>Reject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BD90-FB11-43B8-83E9-2500125C284F}">
  <dimension ref="A3:N30"/>
  <sheetViews>
    <sheetView zoomScaleNormal="100" workbookViewId="0">
      <selection activeCell="E33" sqref="E33"/>
    </sheetView>
  </sheetViews>
  <sheetFormatPr defaultColWidth="8.7109375" defaultRowHeight="15" x14ac:dyDescent="0.25"/>
  <cols>
    <col min="1" max="1" width="20" style="8" customWidth="1"/>
    <col min="2" max="8" width="10" style="8" customWidth="1"/>
    <col min="9" max="9" width="8.7109375" style="8"/>
    <col min="10" max="11" width="11" style="8" customWidth="1"/>
    <col min="12" max="12" width="8.7109375" style="8"/>
    <col min="13" max="13" width="10" style="8" customWidth="1"/>
    <col min="14" max="14" width="16" style="8" customWidth="1"/>
    <col min="15" max="16384" width="8.7109375" style="8"/>
  </cols>
  <sheetData>
    <row r="3" spans="1:14" ht="29.25" x14ac:dyDescent="0.25">
      <c r="A3" s="24"/>
      <c r="B3" s="22" t="s">
        <v>14</v>
      </c>
      <c r="C3" s="22" t="s">
        <v>15</v>
      </c>
      <c r="D3" s="22" t="s">
        <v>16</v>
      </c>
      <c r="E3" s="22" t="s">
        <v>17</v>
      </c>
      <c r="F3" s="22" t="s">
        <v>23</v>
      </c>
      <c r="G3" s="22" t="s">
        <v>24</v>
      </c>
      <c r="H3" s="22" t="s">
        <v>18</v>
      </c>
      <c r="J3" s="23" t="s">
        <v>25</v>
      </c>
      <c r="K3" s="23" t="s">
        <v>26</v>
      </c>
    </row>
    <row r="4" spans="1:14" x14ac:dyDescent="0.25">
      <c r="A4" s="22" t="s">
        <v>14</v>
      </c>
      <c r="B4" s="25">
        <v>1</v>
      </c>
      <c r="C4" s="26">
        <v>1</v>
      </c>
      <c r="D4" s="26">
        <v>5</v>
      </c>
      <c r="E4" s="26">
        <v>4</v>
      </c>
      <c r="F4" s="26">
        <v>7</v>
      </c>
      <c r="G4" s="26">
        <v>8</v>
      </c>
      <c r="H4" s="26">
        <v>8</v>
      </c>
      <c r="J4" s="15">
        <f>GEOMEAN(B4:H4)</f>
        <v>3.6695721404308408</v>
      </c>
      <c r="K4" s="21">
        <f>J4/SUM(J4:J10)</f>
        <v>0.33656151250923161</v>
      </c>
    </row>
    <row r="5" spans="1:14" x14ac:dyDescent="0.25">
      <c r="A5" s="22" t="s">
        <v>15</v>
      </c>
      <c r="B5" s="27">
        <f>1/C4</f>
        <v>1</v>
      </c>
      <c r="C5" s="25">
        <v>1</v>
      </c>
      <c r="D5" s="26">
        <v>3</v>
      </c>
      <c r="E5" s="26">
        <v>2</v>
      </c>
      <c r="F5" s="26">
        <v>7</v>
      </c>
      <c r="G5" s="26">
        <v>9</v>
      </c>
      <c r="H5" s="26">
        <v>8</v>
      </c>
      <c r="J5" s="15">
        <f>GEOMEAN(B5:H5)</f>
        <v>3.1421431700472597</v>
      </c>
      <c r="K5" s="21">
        <f>J5/SUM(J4:J10)</f>
        <v>0.28818740097244538</v>
      </c>
    </row>
    <row r="6" spans="1:14" x14ac:dyDescent="0.25">
      <c r="A6" s="22" t="s">
        <v>16</v>
      </c>
      <c r="B6" s="27">
        <f>1/D4</f>
        <v>0.2</v>
      </c>
      <c r="C6" s="27">
        <f>1/D5</f>
        <v>0.33333333333333331</v>
      </c>
      <c r="D6" s="25">
        <v>1</v>
      </c>
      <c r="E6" s="26">
        <v>0.5</v>
      </c>
      <c r="F6" s="26">
        <v>5</v>
      </c>
      <c r="G6" s="26">
        <v>6</v>
      </c>
      <c r="H6" s="26">
        <v>6</v>
      </c>
      <c r="J6" s="15">
        <f>GEOMEAN(B6:H6)</f>
        <v>1.2917083420907465</v>
      </c>
      <c r="K6" s="21">
        <f>J6/SUM(J4:J10)</f>
        <v>0.1184713903141338</v>
      </c>
    </row>
    <row r="7" spans="1:14" x14ac:dyDescent="0.25">
      <c r="A7" s="22" t="s">
        <v>17</v>
      </c>
      <c r="B7" s="27">
        <f>1/E4</f>
        <v>0.25</v>
      </c>
      <c r="C7" s="27">
        <f>1/E5</f>
        <v>0.5</v>
      </c>
      <c r="D7" s="27">
        <f>1/E6</f>
        <v>2</v>
      </c>
      <c r="E7" s="25">
        <v>1</v>
      </c>
      <c r="F7" s="26">
        <v>5</v>
      </c>
      <c r="G7" s="26">
        <v>7</v>
      </c>
      <c r="H7" s="26">
        <v>6</v>
      </c>
      <c r="J7" s="15">
        <f>GEOMEAN(B7:H7)</f>
        <v>1.7609095279300138</v>
      </c>
      <c r="K7" s="21">
        <f>J7/SUM(J4:J10)</f>
        <v>0.1615050342197277</v>
      </c>
    </row>
    <row r="8" spans="1:14" x14ac:dyDescent="0.25">
      <c r="A8" s="22" t="s">
        <v>23</v>
      </c>
      <c r="B8" s="27">
        <f>1/F4</f>
        <v>0.14285714285714285</v>
      </c>
      <c r="C8" s="27">
        <f>1/F5</f>
        <v>0.14285714285714285</v>
      </c>
      <c r="D8" s="27">
        <f>1/F6</f>
        <v>0.2</v>
      </c>
      <c r="E8" s="27">
        <f>1/F7</f>
        <v>0.2</v>
      </c>
      <c r="F8" s="25">
        <v>1</v>
      </c>
      <c r="G8" s="26">
        <v>2</v>
      </c>
      <c r="H8" s="26">
        <v>3</v>
      </c>
      <c r="J8" s="15">
        <f>GEOMEAN(B8:H8)</f>
        <v>0.46773747402617832</v>
      </c>
      <c r="K8" s="21">
        <f>J8/SUM(J4:J10)</f>
        <v>4.2899396902717706E-2</v>
      </c>
    </row>
    <row r="9" spans="1:14" x14ac:dyDescent="0.25">
      <c r="A9" s="22" t="s">
        <v>24</v>
      </c>
      <c r="B9" s="27">
        <f>1/G4</f>
        <v>0.125</v>
      </c>
      <c r="C9" s="27">
        <f>1/G5</f>
        <v>0.1111111111111111</v>
      </c>
      <c r="D9" s="27">
        <f>1/G6</f>
        <v>0.16666666666666666</v>
      </c>
      <c r="E9" s="27">
        <f>1/G7</f>
        <v>0.14285714285714285</v>
      </c>
      <c r="F9" s="27">
        <f>1/G8</f>
        <v>0.5</v>
      </c>
      <c r="G9" s="25">
        <v>1</v>
      </c>
      <c r="H9" s="26">
        <v>1</v>
      </c>
      <c r="J9" s="15">
        <f>GEOMEAN(B9:H9)</f>
        <v>0.28825028499585653</v>
      </c>
      <c r="K9" s="21">
        <f>J9/SUM(J4:J10)</f>
        <v>2.6437401469925109E-2</v>
      </c>
    </row>
    <row r="10" spans="1:14" x14ac:dyDescent="0.25">
      <c r="A10" s="22" t="s">
        <v>18</v>
      </c>
      <c r="B10" s="27">
        <f>1/H4</f>
        <v>0.125</v>
      </c>
      <c r="C10" s="27">
        <f>1/H5</f>
        <v>0.125</v>
      </c>
      <c r="D10" s="27">
        <f>1/H6</f>
        <v>0.16666666666666666</v>
      </c>
      <c r="E10" s="27">
        <f>1/H7</f>
        <v>0.16666666666666666</v>
      </c>
      <c r="F10" s="27">
        <f>1/H8</f>
        <v>0.33333333333333331</v>
      </c>
      <c r="G10" s="27">
        <f>1/H9</f>
        <v>1</v>
      </c>
      <c r="H10" s="25">
        <v>1</v>
      </c>
      <c r="J10" s="15">
        <f>GEOMEAN(B10:H10)</f>
        <v>0.28280376143607405</v>
      </c>
      <c r="K10" s="21">
        <f>J10/SUM(J4:J10)</f>
        <v>2.5937863611818757E-2</v>
      </c>
    </row>
    <row r="11" spans="1:14" x14ac:dyDescent="0.25">
      <c r="A11" s="10" t="s">
        <v>27</v>
      </c>
      <c r="K11" s="20">
        <f>SUM(K4:K10)</f>
        <v>1.0000000000000002</v>
      </c>
    </row>
    <row r="13" spans="1:14" x14ac:dyDescent="0.25">
      <c r="A13" s="19" t="s">
        <v>28</v>
      </c>
      <c r="B13" s="18">
        <f>K4</f>
        <v>0.33656151250923161</v>
      </c>
      <c r="C13" s="18">
        <f>K5</f>
        <v>0.28818740097244538</v>
      </c>
      <c r="D13" s="18">
        <f>K6</f>
        <v>0.1184713903141338</v>
      </c>
      <c r="E13" s="18">
        <f>K7</f>
        <v>0.1615050342197277</v>
      </c>
      <c r="F13" s="18">
        <f>K8</f>
        <v>4.2899396902717706E-2</v>
      </c>
      <c r="G13" s="18">
        <f>K9</f>
        <v>2.6437401469925109E-2</v>
      </c>
      <c r="H13" s="18">
        <f>K10</f>
        <v>2.5937863611818757E-2</v>
      </c>
    </row>
    <row r="15" spans="1:14" ht="15.75" x14ac:dyDescent="0.25">
      <c r="A15" s="17" t="s">
        <v>29</v>
      </c>
      <c r="B15" s="17"/>
      <c r="C15" s="17"/>
      <c r="D15" s="17"/>
      <c r="E15" s="17"/>
      <c r="F15" s="17"/>
      <c r="G15" s="17"/>
      <c r="H15" s="17"/>
      <c r="I15" s="17"/>
    </row>
    <row r="16" spans="1:14" x14ac:dyDescent="0.25">
      <c r="A16" s="10" t="s">
        <v>19</v>
      </c>
      <c r="M16" s="10" t="s">
        <v>37</v>
      </c>
      <c r="N16" s="10" t="s">
        <v>36</v>
      </c>
    </row>
    <row r="17" spans="1:14" x14ac:dyDescent="0.25">
      <c r="A17" s="16" t="s">
        <v>14</v>
      </c>
      <c r="M17" s="15">
        <f>SUMPRODUCT(B4:H4,B13:H13)</f>
        <v>2.582423900904232</v>
      </c>
      <c r="N17" s="15">
        <f>M17/K4</f>
        <v>7.6729626083832096</v>
      </c>
    </row>
    <row r="18" spans="1:14" x14ac:dyDescent="0.25">
      <c r="A18" s="16" t="s">
        <v>18</v>
      </c>
      <c r="M18" s="15">
        <f>SUMPRODUCT(B5:H5,B13:H13)</f>
        <v>2.0489084533064337</v>
      </c>
      <c r="N18" s="15">
        <f>M18/K5</f>
        <v>7.1096392361105929</v>
      </c>
    </row>
    <row r="19" spans="1:14" x14ac:dyDescent="0.25">
      <c r="A19" s="16" t="s">
        <v>16</v>
      </c>
      <c r="M19" s="15">
        <f>SUMPRODUCT(B6:H6,B13:H13)</f>
        <v>0.89134725192071085</v>
      </c>
      <c r="N19" s="15">
        <f>M19/K6</f>
        <v>7.5237342075352673</v>
      </c>
    </row>
    <row r="20" spans="1:14" x14ac:dyDescent="0.25">
      <c r="A20" s="16" t="s">
        <v>24</v>
      </c>
      <c r="M20" s="15">
        <f>SUMPRODUCT(B7:H7,B13:H13)</f>
        <v>1.1818678699355027</v>
      </c>
      <c r="N20" s="15">
        <f>M20/K7</f>
        <v>7.3178391970591505</v>
      </c>
    </row>
    <row r="21" spans="1:14" x14ac:dyDescent="0.25">
      <c r="A21" s="16" t="s">
        <v>15</v>
      </c>
      <c r="M21" s="15">
        <f>SUMPRODUCT(B8:H8,B13:H13)</f>
        <v>0.31883292036789324</v>
      </c>
      <c r="N21" s="15">
        <f>M21/K8</f>
        <v>7.4321072879160912</v>
      </c>
    </row>
    <row r="22" spans="1:14" x14ac:dyDescent="0.25">
      <c r="A22" s="16" t="s">
        <v>17</v>
      </c>
      <c r="M22" s="15">
        <f>SUMPRODUCT(B9:H9,B13:H13)</f>
        <v>0.19073335439172606</v>
      </c>
      <c r="N22" s="15">
        <f>M22/K9</f>
        <v>7.2145272903882853</v>
      </c>
    </row>
    <row r="23" spans="1:14" x14ac:dyDescent="0.25">
      <c r="A23" s="16" t="s">
        <v>23</v>
      </c>
      <c r="M23" s="15">
        <f>SUMPRODUCT(B10:H10,B13:H13)</f>
        <v>0.19143141565683633</v>
      </c>
      <c r="N23" s="15">
        <f>M23/K10</f>
        <v>7.3803848505707057</v>
      </c>
    </row>
    <row r="25" spans="1:14" x14ac:dyDescent="0.25">
      <c r="A25" s="10" t="s">
        <v>30</v>
      </c>
      <c r="B25" s="13">
        <f>AVERAGE(N17:N23)</f>
        <v>7.3787420968519006</v>
      </c>
    </row>
    <row r="26" spans="1:14" x14ac:dyDescent="0.25">
      <c r="A26" s="10" t="s">
        <v>31</v>
      </c>
      <c r="B26" s="14">
        <v>7</v>
      </c>
    </row>
    <row r="27" spans="1:14" x14ac:dyDescent="0.25">
      <c r="A27" s="10" t="s">
        <v>32</v>
      </c>
      <c r="B27" s="13">
        <f>(B25-B26)/(B26-1)</f>
        <v>6.3123682808650106E-2</v>
      </c>
    </row>
    <row r="28" spans="1:14" x14ac:dyDescent="0.25">
      <c r="A28" s="10" t="s">
        <v>33</v>
      </c>
      <c r="B28" s="12">
        <v>1.32</v>
      </c>
    </row>
    <row r="29" spans="1:14" x14ac:dyDescent="0.25">
      <c r="A29" s="10" t="s">
        <v>34</v>
      </c>
      <c r="B29" s="11">
        <f>B27/B28</f>
        <v>4.7820971824734923E-2</v>
      </c>
    </row>
    <row r="30" spans="1:14" x14ac:dyDescent="0.25">
      <c r="A30" s="10" t="s">
        <v>35</v>
      </c>
      <c r="B30" s="9" t="str">
        <f>IF(B29&lt;0.1,"Nhất quán (CR&lt;0.10) — trọng số dùng được","KHÔNG nhất quán — cần điều chỉnh lại ma trận")</f>
        <v>Nhất quán (CR&lt;0.10) — trọng số dùng được</v>
      </c>
      <c r="C30" s="9"/>
      <c r="D30" s="9"/>
      <c r="E30" s="9"/>
    </row>
  </sheetData>
  <mergeCells count="2">
    <mergeCell ref="A15:I15"/>
    <mergeCell ref="B30:E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Average</vt:lpstr>
      <vt:lpstr>AHP - Criteria Weighting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Nguyen</dc:creator>
  <cp:lastModifiedBy>Trung Nguyen</cp:lastModifiedBy>
  <dcterms:created xsi:type="dcterms:W3CDTF">2026-07-11T14:29:05Z</dcterms:created>
  <dcterms:modified xsi:type="dcterms:W3CDTF">2026-07-11T15:11:23Z</dcterms:modified>
</cp:coreProperties>
</file>