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ChuyenGia1" sheetId="2" state="visible" r:id="rId2"/>
    <sheet name="ChuyenGia2" sheetId="3" state="visible" r:id="rId3"/>
    <sheet name="ChuyenGia3" sheetId="4" state="visible" r:id="rId4"/>
    <sheet name="ChuyenGia4" sheetId="5" state="visible" r:id="rId5"/>
    <sheet name="ChuyenGia5" sheetId="6" state="visible" r:id="rId6"/>
    <sheet name="TongHo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b val="1"/>
    </font>
    <font/>
    <font>
      <b val="1"/>
      <sz val="12"/>
    </font>
    <font>
      <i val="1"/>
      <sz val="9"/>
    </font>
    <font>
      <i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5" borderId="0" pivotButton="0" quotePrefix="0" xfId="0"/>
    <xf numFmtId="164" fontId="0" fillId="0" borderId="1" applyAlignment="1" pivotButton="0" quotePrefix="0" xfId="0">
      <alignment horizontal="center" vertical="center" wrapText="1"/>
    </xf>
    <xf numFmtId="165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HƯỚNG DẪN ĐIỀN MA TRẬN SO SÁNH CẶP AHP</t>
        </is>
      </c>
      <c r="B1" s="2" t="inlineStr"/>
    </row>
    <row r="2">
      <c r="A2" s="1" t="inlineStr"/>
      <c r="B2" s="2" t="inlineStr"/>
    </row>
    <row r="3">
      <c r="A3" s="1" t="inlineStr">
        <is>
          <t>Bước 1</t>
        </is>
      </c>
      <c r="B3" s="2" t="inlineStr">
        <is>
          <t>Mở sheet ChuyenGia tương ứng với bạn (ChuyenGia1 đến ChuyenGia5).</t>
        </is>
      </c>
    </row>
    <row r="4">
      <c r="A4" s="1" t="inlineStr">
        <is>
          <t>Bước 2</t>
        </is>
      </c>
      <c r="B4" s="2" t="inlineStr">
        <is>
          <t>Chỉ điền các Ô MÀU VÀNG (nửa trên bên phải ma trận). Nửa dưới tự động tính nghịch đảo.</t>
        </is>
      </c>
    </row>
    <row r="5">
      <c r="A5" s="1" t="inlineStr">
        <is>
          <t>Bước 3</t>
        </is>
      </c>
      <c r="B5" s="2" t="inlineStr">
        <is>
          <t>Mỗi ô trả lời câu hỏi: tiêu chí ở HÀNG quan trọng hơn tiêu chí ở CỘT bao nhiêu lần? Dùng thang Saaty bên dưới.</t>
        </is>
      </c>
    </row>
    <row r="6">
      <c r="A6" s="1" t="inlineStr">
        <is>
          <t>Bước 4</t>
        </is>
      </c>
      <c r="B6" s="2" t="inlineStr">
        <is>
          <t>Xem ô CR cuối sheet. CR phải NHỎ HƠN HOẶC BẰNG 0.1 (ô sẽ đỏ nếu vượt). Nếu đỏ, xem lại các cặp mâu thuẫn.</t>
        </is>
      </c>
    </row>
    <row r="7">
      <c r="A7" s="1" t="inlineStr"/>
      <c r="B7" s="2" t="inlineStr"/>
    </row>
    <row r="8">
      <c r="A8" s="1" t="inlineStr">
        <is>
          <t>THANG SAATY 1-9</t>
        </is>
      </c>
      <c r="B8" s="2" t="inlineStr"/>
    </row>
    <row r="9">
      <c r="A9" s="1" t="inlineStr">
        <is>
          <t>1</t>
        </is>
      </c>
      <c r="B9" s="2" t="inlineStr">
        <is>
          <t>Hai tiêu chí quan trọng như nhau</t>
        </is>
      </c>
    </row>
    <row r="10">
      <c r="A10" s="1" t="inlineStr">
        <is>
          <t>3</t>
        </is>
      </c>
      <c r="B10" s="2" t="inlineStr">
        <is>
          <t>Hàng hơi quan trọng hơn cột</t>
        </is>
      </c>
    </row>
    <row r="11">
      <c r="A11" s="1" t="inlineStr">
        <is>
          <t>5</t>
        </is>
      </c>
      <c r="B11" s="2" t="inlineStr">
        <is>
          <t>Hàng quan trọng hơn cột rõ rệt</t>
        </is>
      </c>
    </row>
    <row r="12">
      <c r="A12" s="1" t="inlineStr">
        <is>
          <t>7</t>
        </is>
      </c>
      <c r="B12" s="2" t="inlineStr">
        <is>
          <t>Hàng quan trọng hơn cột rất nhiều</t>
        </is>
      </c>
    </row>
    <row r="13">
      <c r="A13" s="1" t="inlineStr">
        <is>
          <t>9</t>
        </is>
      </c>
      <c r="B13" s="2" t="inlineStr">
        <is>
          <t>Hàng quan trọng hơn cột tuyệt đối</t>
        </is>
      </c>
    </row>
    <row r="14">
      <c r="A14" s="1" t="inlineStr">
        <is>
          <t>2, 4, 6, 8</t>
        </is>
      </c>
      <c r="B14" s="2" t="inlineStr">
        <is>
          <t>Mức trung gian giữa hai mức kề trên</t>
        </is>
      </c>
    </row>
    <row r="15">
      <c r="A15" s="1" t="inlineStr">
        <is>
          <t>1/3, 1/5...</t>
        </is>
      </c>
      <c r="B15" s="2" t="inlineStr">
        <is>
          <t>Nếu COT quan trọng hơn HANG thì điền nghịch đảo, ví dụ 1/5 điền 0.2 hoặc =1/5</t>
        </is>
      </c>
    </row>
    <row r="16">
      <c r="A16" s="1" t="inlineStr"/>
      <c r="B16" s="2" t="inlineStr"/>
    </row>
    <row r="17">
      <c r="A17" s="1" t="inlineStr">
        <is>
          <t>LƯU Ý</t>
        </is>
      </c>
      <c r="B17" s="2" t="inlineStr">
        <is>
          <t>File đang để tạm 8 tiêu chí C1-C8. Sau khi chốt bộ tiêu chí ở Phase 3, nhờ AI cập nhật tên tiêu chí và số hàng cột trước khi gửi chuyên gia.</t>
        </is>
      </c>
    </row>
    <row r="18">
      <c r="A18" s="3" t="inlineStr"/>
      <c r="B18" s="2" t="inlineStr">
        <is>
          <t>Danh sách tiêu chí (cập nhật sau Phase 3):</t>
        </is>
      </c>
    </row>
    <row r="19">
      <c r="A19" s="1" t="inlineStr">
        <is>
          <t>C1</t>
        </is>
      </c>
      <c r="B19" t="inlineStr">
        <is>
          <t>[tên tiêu chí - điền sau Phase 3]</t>
        </is>
      </c>
    </row>
    <row r="20">
      <c r="A20" s="1" t="inlineStr">
        <is>
          <t>C2</t>
        </is>
      </c>
      <c r="B20" t="inlineStr">
        <is>
          <t>[tên tiêu chí - điền sau Phase 3]</t>
        </is>
      </c>
    </row>
    <row r="21">
      <c r="A21" s="1" t="inlineStr">
        <is>
          <t>C3</t>
        </is>
      </c>
      <c r="B21" t="inlineStr">
        <is>
          <t>[tên tiêu chí - điền sau Phase 3]</t>
        </is>
      </c>
    </row>
    <row r="22">
      <c r="A22" s="1" t="inlineStr">
        <is>
          <t>C4</t>
        </is>
      </c>
      <c r="B22" t="inlineStr">
        <is>
          <t>[tên tiêu chí - điền sau Phase 3]</t>
        </is>
      </c>
    </row>
    <row r="23">
      <c r="A23" s="1" t="inlineStr">
        <is>
          <t>C5</t>
        </is>
      </c>
      <c r="B23" t="inlineStr">
        <is>
          <t>[tên tiêu chí - điền sau Phase 3]</t>
        </is>
      </c>
    </row>
    <row r="24">
      <c r="A24" s="1" t="inlineStr">
        <is>
          <t>C6</t>
        </is>
      </c>
      <c r="B24" t="inlineStr">
        <is>
          <t>[tên tiêu chí - điền sau Phase 3]</t>
        </is>
      </c>
    </row>
    <row r="25">
      <c r="A25" s="1" t="inlineStr">
        <is>
          <t>C7</t>
        </is>
      </c>
      <c r="B25" t="inlineStr">
        <is>
          <t>[tên tiêu chí - điền sau Phase 3]</t>
        </is>
      </c>
    </row>
    <row r="26">
      <c r="A26" s="1" t="inlineStr">
        <is>
          <t>C8</t>
        </is>
      </c>
      <c r="B26" t="inlineStr">
        <is>
          <t>[tên tiêu chí - điền sau Phase 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ChuyenGia1 - chỉ điền các ô MÀU VÀNG</t>
        </is>
      </c>
    </row>
    <row r="3">
      <c r="B3" s="5" t="inlineStr">
        <is>
          <t>C1</t>
        </is>
      </c>
      <c r="C3" s="5" t="inlineStr">
        <is>
          <t>C2</t>
        </is>
      </c>
      <c r="D3" s="5" t="inlineStr">
        <is>
          <t>C3</t>
        </is>
      </c>
      <c r="E3" s="5" t="inlineStr">
        <is>
          <t>C4</t>
        </is>
      </c>
      <c r="F3" s="5" t="inlineStr">
        <is>
          <t>C5</t>
        </is>
      </c>
      <c r="G3" s="5" t="inlineStr">
        <is>
          <t>C6</t>
        </is>
      </c>
      <c r="H3" s="5" t="inlineStr">
        <is>
          <t>C7</t>
        </is>
      </c>
      <c r="I3" s="5" t="inlineStr">
        <is>
          <t>C8</t>
        </is>
      </c>
      <c r="K3" s="6" t="inlineStr">
        <is>
          <t>GM hàng</t>
        </is>
      </c>
      <c r="L3" s="6" t="inlineStr">
        <is>
          <t>Trọng số</t>
        </is>
      </c>
      <c r="M3" s="6" t="inlineStr">
        <is>
          <t>λ_i</t>
        </is>
      </c>
    </row>
    <row r="4">
      <c r="A4" s="5" t="inlineStr">
        <is>
          <t>C1</t>
        </is>
      </c>
      <c r="B4" s="7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K4" s="9">
        <f>GEOMEAN(B4:I4)</f>
        <v/>
      </c>
      <c r="L4" s="10">
        <f>K4/SUM(K$4:K$11)</f>
        <v/>
      </c>
      <c r="M4" s="9">
        <f>SUMPRODUCT(B4:I4,L$4:L$11)/L4</f>
        <v/>
      </c>
    </row>
    <row r="5">
      <c r="A5" s="5" t="inlineStr">
        <is>
          <t>C2</t>
        </is>
      </c>
      <c r="B5" s="11">
        <f>1/C4</f>
        <v/>
      </c>
      <c r="C5" s="7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K5" s="9">
        <f>GEOMEAN(B5:I5)</f>
        <v/>
      </c>
      <c r="L5" s="10">
        <f>K5/SUM(K$4:K$11)</f>
        <v/>
      </c>
      <c r="M5" s="9">
        <f>SUMPRODUCT(B5:I5,L$4:L$11)/L5</f>
        <v/>
      </c>
    </row>
    <row r="6">
      <c r="A6" s="5" t="inlineStr">
        <is>
          <t>C3</t>
        </is>
      </c>
      <c r="B6" s="11">
        <f>1/D4</f>
        <v/>
      </c>
      <c r="C6" s="11">
        <f>1/D5</f>
        <v/>
      </c>
      <c r="D6" s="7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K6" s="9">
        <f>GEOMEAN(B6:I6)</f>
        <v/>
      </c>
      <c r="L6" s="10">
        <f>K6/SUM(K$4:K$11)</f>
        <v/>
      </c>
      <c r="M6" s="9">
        <f>SUMPRODUCT(B6:I6,L$4:L$11)/L6</f>
        <v/>
      </c>
    </row>
    <row r="7">
      <c r="A7" s="5" t="inlineStr">
        <is>
          <t>C4</t>
        </is>
      </c>
      <c r="B7" s="11">
        <f>1/E4</f>
        <v/>
      </c>
      <c r="C7" s="11">
        <f>1/E5</f>
        <v/>
      </c>
      <c r="D7" s="11">
        <f>1/E6</f>
        <v/>
      </c>
      <c r="E7" s="7" t="n">
        <v>1</v>
      </c>
      <c r="F7" s="8" t="n">
        <v>1</v>
      </c>
      <c r="G7" s="8" t="n">
        <v>1</v>
      </c>
      <c r="H7" s="8" t="n">
        <v>1</v>
      </c>
      <c r="I7" s="8" t="n">
        <v>1</v>
      </c>
      <c r="K7" s="9">
        <f>GEOMEAN(B7:I7)</f>
        <v/>
      </c>
      <c r="L7" s="10">
        <f>K7/SUM(K$4:K$11)</f>
        <v/>
      </c>
      <c r="M7" s="9">
        <f>SUMPRODUCT(B7:I7,L$4:L$11)/L7</f>
        <v/>
      </c>
    </row>
    <row r="8">
      <c r="A8" s="5" t="inlineStr">
        <is>
          <t>C5</t>
        </is>
      </c>
      <c r="B8" s="11">
        <f>1/F4</f>
        <v/>
      </c>
      <c r="C8" s="11">
        <f>1/F5</f>
        <v/>
      </c>
      <c r="D8" s="11">
        <f>1/F6</f>
        <v/>
      </c>
      <c r="E8" s="11">
        <f>1/F7</f>
        <v/>
      </c>
      <c r="F8" s="7" t="n">
        <v>1</v>
      </c>
      <c r="G8" s="8" t="n">
        <v>1</v>
      </c>
      <c r="H8" s="8" t="n">
        <v>1</v>
      </c>
      <c r="I8" s="8" t="n">
        <v>1</v>
      </c>
      <c r="K8" s="9">
        <f>GEOMEAN(B8:I8)</f>
        <v/>
      </c>
      <c r="L8" s="10">
        <f>K8/SUM(K$4:K$11)</f>
        <v/>
      </c>
      <c r="M8" s="9">
        <f>SUMPRODUCT(B8:I8,L$4:L$11)/L8</f>
        <v/>
      </c>
    </row>
    <row r="9">
      <c r="A9" s="5" t="inlineStr">
        <is>
          <t>C6</t>
        </is>
      </c>
      <c r="B9" s="11">
        <f>1/G4</f>
        <v/>
      </c>
      <c r="C9" s="11">
        <f>1/G5</f>
        <v/>
      </c>
      <c r="D9" s="11">
        <f>1/G6</f>
        <v/>
      </c>
      <c r="E9" s="11">
        <f>1/G7</f>
        <v/>
      </c>
      <c r="F9" s="11">
        <f>1/G8</f>
        <v/>
      </c>
      <c r="G9" s="7" t="n">
        <v>1</v>
      </c>
      <c r="H9" s="8" t="n">
        <v>1</v>
      </c>
      <c r="I9" s="8" t="n">
        <v>1</v>
      </c>
      <c r="K9" s="9">
        <f>GEOMEAN(B9:I9)</f>
        <v/>
      </c>
      <c r="L9" s="10">
        <f>K9/SUM(K$4:K$11)</f>
        <v/>
      </c>
      <c r="M9" s="9">
        <f>SUMPRODUCT(B9:I9,L$4:L$11)/L9</f>
        <v/>
      </c>
    </row>
    <row r="10">
      <c r="A10" s="5" t="inlineStr">
        <is>
          <t>C7</t>
        </is>
      </c>
      <c r="B10" s="11">
        <f>1/H4</f>
        <v/>
      </c>
      <c r="C10" s="11">
        <f>1/H5</f>
        <v/>
      </c>
      <c r="D10" s="11">
        <f>1/H6</f>
        <v/>
      </c>
      <c r="E10" s="11">
        <f>1/H7</f>
        <v/>
      </c>
      <c r="F10" s="11">
        <f>1/H8</f>
        <v/>
      </c>
      <c r="G10" s="11">
        <f>1/H9</f>
        <v/>
      </c>
      <c r="H10" s="7" t="n">
        <v>1</v>
      </c>
      <c r="I10" s="8" t="n">
        <v>1</v>
      </c>
      <c r="K10" s="9">
        <f>GEOMEAN(B10:I10)</f>
        <v/>
      </c>
      <c r="L10" s="10">
        <f>K10/SUM(K$4:K$11)</f>
        <v/>
      </c>
      <c r="M10" s="9">
        <f>SUMPRODUCT(B10:I10,L$4:L$11)/L10</f>
        <v/>
      </c>
    </row>
    <row r="11">
      <c r="A11" s="5" t="inlineStr">
        <is>
          <t>C8</t>
        </is>
      </c>
      <c r="B11" s="11">
        <f>1/I4</f>
        <v/>
      </c>
      <c r="C11" s="11">
        <f>1/I5</f>
        <v/>
      </c>
      <c r="D11" s="11">
        <f>1/I6</f>
        <v/>
      </c>
      <c r="E11" s="11">
        <f>1/I7</f>
        <v/>
      </c>
      <c r="F11" s="11">
        <f>1/I8</f>
        <v/>
      </c>
      <c r="G11" s="11">
        <f>1/I9</f>
        <v/>
      </c>
      <c r="H11" s="11">
        <f>1/I10</f>
        <v/>
      </c>
      <c r="I11" s="7" t="n">
        <v>1</v>
      </c>
      <c r="K11" s="9">
        <f>GEOMEAN(B11:I11)</f>
        <v/>
      </c>
      <c r="L11" s="10">
        <f>K11/SUM(K$4:K$11)</f>
        <v/>
      </c>
      <c r="M11" s="9">
        <f>SUMPRODUCT(B11:I11,L$4:L$11)/L11</f>
        <v/>
      </c>
    </row>
    <row r="13">
      <c r="K13" s="1" t="inlineStr">
        <is>
          <t>λmax</t>
        </is>
      </c>
      <c r="L13" s="9">
        <f>AVERAGE(M4:M11)</f>
        <v/>
      </c>
    </row>
    <row r="14">
      <c r="K14" s="1" t="inlineStr">
        <is>
          <t>CI</t>
        </is>
      </c>
      <c r="L14" s="9">
        <f>(L13-8)/(8-1)</f>
        <v/>
      </c>
    </row>
    <row r="15">
      <c r="K15" s="1" t="inlineStr">
        <is>
          <t>CR</t>
        </is>
      </c>
      <c r="L15" s="12">
        <f>L14/1.41</f>
        <v/>
      </c>
    </row>
    <row r="16">
      <c r="K16" s="13" t="inlineStr">
        <is>
          <t>Đạt khi CR ≤ 0.1</t>
        </is>
      </c>
    </row>
  </sheetData>
  <conditionalFormatting sqref="L15">
    <cfRule type="cellIs" priority="1" operator="greaterThan" dxfId="0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ChuyenGia2 - chỉ điền các ô MÀU VÀNG</t>
        </is>
      </c>
    </row>
    <row r="3">
      <c r="B3" s="5" t="inlineStr">
        <is>
          <t>C1</t>
        </is>
      </c>
      <c r="C3" s="5" t="inlineStr">
        <is>
          <t>C2</t>
        </is>
      </c>
      <c r="D3" s="5" t="inlineStr">
        <is>
          <t>C3</t>
        </is>
      </c>
      <c r="E3" s="5" t="inlineStr">
        <is>
          <t>C4</t>
        </is>
      </c>
      <c r="F3" s="5" t="inlineStr">
        <is>
          <t>C5</t>
        </is>
      </c>
      <c r="G3" s="5" t="inlineStr">
        <is>
          <t>C6</t>
        </is>
      </c>
      <c r="H3" s="5" t="inlineStr">
        <is>
          <t>C7</t>
        </is>
      </c>
      <c r="I3" s="5" t="inlineStr">
        <is>
          <t>C8</t>
        </is>
      </c>
      <c r="K3" s="6" t="inlineStr">
        <is>
          <t>GM hàng</t>
        </is>
      </c>
      <c r="L3" s="6" t="inlineStr">
        <is>
          <t>Trọng số</t>
        </is>
      </c>
      <c r="M3" s="6" t="inlineStr">
        <is>
          <t>λ_i</t>
        </is>
      </c>
    </row>
    <row r="4">
      <c r="A4" s="5" t="inlineStr">
        <is>
          <t>C1</t>
        </is>
      </c>
      <c r="B4" s="7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K4" s="9">
        <f>GEOMEAN(B4:I4)</f>
        <v/>
      </c>
      <c r="L4" s="10">
        <f>K4/SUM(K$4:K$11)</f>
        <v/>
      </c>
      <c r="M4" s="9">
        <f>SUMPRODUCT(B4:I4,L$4:L$11)/L4</f>
        <v/>
      </c>
    </row>
    <row r="5">
      <c r="A5" s="5" t="inlineStr">
        <is>
          <t>C2</t>
        </is>
      </c>
      <c r="B5" s="11">
        <f>1/C4</f>
        <v/>
      </c>
      <c r="C5" s="7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K5" s="9">
        <f>GEOMEAN(B5:I5)</f>
        <v/>
      </c>
      <c r="L5" s="10">
        <f>K5/SUM(K$4:K$11)</f>
        <v/>
      </c>
      <c r="M5" s="9">
        <f>SUMPRODUCT(B5:I5,L$4:L$11)/L5</f>
        <v/>
      </c>
    </row>
    <row r="6">
      <c r="A6" s="5" t="inlineStr">
        <is>
          <t>C3</t>
        </is>
      </c>
      <c r="B6" s="11">
        <f>1/D4</f>
        <v/>
      </c>
      <c r="C6" s="11">
        <f>1/D5</f>
        <v/>
      </c>
      <c r="D6" s="7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K6" s="9">
        <f>GEOMEAN(B6:I6)</f>
        <v/>
      </c>
      <c r="L6" s="10">
        <f>K6/SUM(K$4:K$11)</f>
        <v/>
      </c>
      <c r="M6" s="9">
        <f>SUMPRODUCT(B6:I6,L$4:L$11)/L6</f>
        <v/>
      </c>
    </row>
    <row r="7">
      <c r="A7" s="5" t="inlineStr">
        <is>
          <t>C4</t>
        </is>
      </c>
      <c r="B7" s="11">
        <f>1/E4</f>
        <v/>
      </c>
      <c r="C7" s="11">
        <f>1/E5</f>
        <v/>
      </c>
      <c r="D7" s="11">
        <f>1/E6</f>
        <v/>
      </c>
      <c r="E7" s="7" t="n">
        <v>1</v>
      </c>
      <c r="F7" s="8" t="n">
        <v>1</v>
      </c>
      <c r="G7" s="8" t="n">
        <v>1</v>
      </c>
      <c r="H7" s="8" t="n">
        <v>1</v>
      </c>
      <c r="I7" s="8" t="n">
        <v>1</v>
      </c>
      <c r="K7" s="9">
        <f>GEOMEAN(B7:I7)</f>
        <v/>
      </c>
      <c r="L7" s="10">
        <f>K7/SUM(K$4:K$11)</f>
        <v/>
      </c>
      <c r="M7" s="9">
        <f>SUMPRODUCT(B7:I7,L$4:L$11)/L7</f>
        <v/>
      </c>
    </row>
    <row r="8">
      <c r="A8" s="5" t="inlineStr">
        <is>
          <t>C5</t>
        </is>
      </c>
      <c r="B8" s="11">
        <f>1/F4</f>
        <v/>
      </c>
      <c r="C8" s="11">
        <f>1/F5</f>
        <v/>
      </c>
      <c r="D8" s="11">
        <f>1/F6</f>
        <v/>
      </c>
      <c r="E8" s="11">
        <f>1/F7</f>
        <v/>
      </c>
      <c r="F8" s="7" t="n">
        <v>1</v>
      </c>
      <c r="G8" s="8" t="n">
        <v>1</v>
      </c>
      <c r="H8" s="8" t="n">
        <v>1</v>
      </c>
      <c r="I8" s="8" t="n">
        <v>1</v>
      </c>
      <c r="K8" s="9">
        <f>GEOMEAN(B8:I8)</f>
        <v/>
      </c>
      <c r="L8" s="10">
        <f>K8/SUM(K$4:K$11)</f>
        <v/>
      </c>
      <c r="M8" s="9">
        <f>SUMPRODUCT(B8:I8,L$4:L$11)/L8</f>
        <v/>
      </c>
    </row>
    <row r="9">
      <c r="A9" s="5" t="inlineStr">
        <is>
          <t>C6</t>
        </is>
      </c>
      <c r="B9" s="11">
        <f>1/G4</f>
        <v/>
      </c>
      <c r="C9" s="11">
        <f>1/G5</f>
        <v/>
      </c>
      <c r="D9" s="11">
        <f>1/G6</f>
        <v/>
      </c>
      <c r="E9" s="11">
        <f>1/G7</f>
        <v/>
      </c>
      <c r="F9" s="11">
        <f>1/G8</f>
        <v/>
      </c>
      <c r="G9" s="7" t="n">
        <v>1</v>
      </c>
      <c r="H9" s="8" t="n">
        <v>1</v>
      </c>
      <c r="I9" s="8" t="n">
        <v>1</v>
      </c>
      <c r="K9" s="9">
        <f>GEOMEAN(B9:I9)</f>
        <v/>
      </c>
      <c r="L9" s="10">
        <f>K9/SUM(K$4:K$11)</f>
        <v/>
      </c>
      <c r="M9" s="9">
        <f>SUMPRODUCT(B9:I9,L$4:L$11)/L9</f>
        <v/>
      </c>
    </row>
    <row r="10">
      <c r="A10" s="5" t="inlineStr">
        <is>
          <t>C7</t>
        </is>
      </c>
      <c r="B10" s="11">
        <f>1/H4</f>
        <v/>
      </c>
      <c r="C10" s="11">
        <f>1/H5</f>
        <v/>
      </c>
      <c r="D10" s="11">
        <f>1/H6</f>
        <v/>
      </c>
      <c r="E10" s="11">
        <f>1/H7</f>
        <v/>
      </c>
      <c r="F10" s="11">
        <f>1/H8</f>
        <v/>
      </c>
      <c r="G10" s="11">
        <f>1/H9</f>
        <v/>
      </c>
      <c r="H10" s="7" t="n">
        <v>1</v>
      </c>
      <c r="I10" s="8" t="n">
        <v>1</v>
      </c>
      <c r="K10" s="9">
        <f>GEOMEAN(B10:I10)</f>
        <v/>
      </c>
      <c r="L10" s="10">
        <f>K10/SUM(K$4:K$11)</f>
        <v/>
      </c>
      <c r="M10" s="9">
        <f>SUMPRODUCT(B10:I10,L$4:L$11)/L10</f>
        <v/>
      </c>
    </row>
    <row r="11">
      <c r="A11" s="5" t="inlineStr">
        <is>
          <t>C8</t>
        </is>
      </c>
      <c r="B11" s="11">
        <f>1/I4</f>
        <v/>
      </c>
      <c r="C11" s="11">
        <f>1/I5</f>
        <v/>
      </c>
      <c r="D11" s="11">
        <f>1/I6</f>
        <v/>
      </c>
      <c r="E11" s="11">
        <f>1/I7</f>
        <v/>
      </c>
      <c r="F11" s="11">
        <f>1/I8</f>
        <v/>
      </c>
      <c r="G11" s="11">
        <f>1/I9</f>
        <v/>
      </c>
      <c r="H11" s="11">
        <f>1/I10</f>
        <v/>
      </c>
      <c r="I11" s="7" t="n">
        <v>1</v>
      </c>
      <c r="K11" s="9">
        <f>GEOMEAN(B11:I11)</f>
        <v/>
      </c>
      <c r="L11" s="10">
        <f>K11/SUM(K$4:K$11)</f>
        <v/>
      </c>
      <c r="M11" s="9">
        <f>SUMPRODUCT(B11:I11,L$4:L$11)/L11</f>
        <v/>
      </c>
    </row>
    <row r="13">
      <c r="K13" s="1" t="inlineStr">
        <is>
          <t>λmax</t>
        </is>
      </c>
      <c r="L13" s="9">
        <f>AVERAGE(M4:M11)</f>
        <v/>
      </c>
    </row>
    <row r="14">
      <c r="K14" s="1" t="inlineStr">
        <is>
          <t>CI</t>
        </is>
      </c>
      <c r="L14" s="9">
        <f>(L13-8)/(8-1)</f>
        <v/>
      </c>
    </row>
    <row r="15">
      <c r="K15" s="1" t="inlineStr">
        <is>
          <t>CR</t>
        </is>
      </c>
      <c r="L15" s="12">
        <f>L14/1.41</f>
        <v/>
      </c>
    </row>
    <row r="16">
      <c r="K16" s="13" t="inlineStr">
        <is>
          <t>Đạt khi CR ≤ 0.1</t>
        </is>
      </c>
    </row>
  </sheetData>
  <conditionalFormatting sqref="L15">
    <cfRule type="cellIs" priority="1" operator="greaterThan" dxfId="0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ChuyenGia3 - chỉ điền các ô MÀU VÀNG</t>
        </is>
      </c>
    </row>
    <row r="3">
      <c r="B3" s="5" t="inlineStr">
        <is>
          <t>C1</t>
        </is>
      </c>
      <c r="C3" s="5" t="inlineStr">
        <is>
          <t>C2</t>
        </is>
      </c>
      <c r="D3" s="5" t="inlineStr">
        <is>
          <t>C3</t>
        </is>
      </c>
      <c r="E3" s="5" t="inlineStr">
        <is>
          <t>C4</t>
        </is>
      </c>
      <c r="F3" s="5" t="inlineStr">
        <is>
          <t>C5</t>
        </is>
      </c>
      <c r="G3" s="5" t="inlineStr">
        <is>
          <t>C6</t>
        </is>
      </c>
      <c r="H3" s="5" t="inlineStr">
        <is>
          <t>C7</t>
        </is>
      </c>
      <c r="I3" s="5" t="inlineStr">
        <is>
          <t>C8</t>
        </is>
      </c>
      <c r="K3" s="6" t="inlineStr">
        <is>
          <t>GM hàng</t>
        </is>
      </c>
      <c r="L3" s="6" t="inlineStr">
        <is>
          <t>Trọng số</t>
        </is>
      </c>
      <c r="M3" s="6" t="inlineStr">
        <is>
          <t>λ_i</t>
        </is>
      </c>
    </row>
    <row r="4">
      <c r="A4" s="5" t="inlineStr">
        <is>
          <t>C1</t>
        </is>
      </c>
      <c r="B4" s="7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K4" s="9">
        <f>GEOMEAN(B4:I4)</f>
        <v/>
      </c>
      <c r="L4" s="10">
        <f>K4/SUM(K$4:K$11)</f>
        <v/>
      </c>
      <c r="M4" s="9">
        <f>SUMPRODUCT(B4:I4,L$4:L$11)/L4</f>
        <v/>
      </c>
    </row>
    <row r="5">
      <c r="A5" s="5" t="inlineStr">
        <is>
          <t>C2</t>
        </is>
      </c>
      <c r="B5" s="11">
        <f>1/C4</f>
        <v/>
      </c>
      <c r="C5" s="7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K5" s="9">
        <f>GEOMEAN(B5:I5)</f>
        <v/>
      </c>
      <c r="L5" s="10">
        <f>K5/SUM(K$4:K$11)</f>
        <v/>
      </c>
      <c r="M5" s="9">
        <f>SUMPRODUCT(B5:I5,L$4:L$11)/L5</f>
        <v/>
      </c>
    </row>
    <row r="6">
      <c r="A6" s="5" t="inlineStr">
        <is>
          <t>C3</t>
        </is>
      </c>
      <c r="B6" s="11">
        <f>1/D4</f>
        <v/>
      </c>
      <c r="C6" s="11">
        <f>1/D5</f>
        <v/>
      </c>
      <c r="D6" s="7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K6" s="9">
        <f>GEOMEAN(B6:I6)</f>
        <v/>
      </c>
      <c r="L6" s="10">
        <f>K6/SUM(K$4:K$11)</f>
        <v/>
      </c>
      <c r="M6" s="9">
        <f>SUMPRODUCT(B6:I6,L$4:L$11)/L6</f>
        <v/>
      </c>
    </row>
    <row r="7">
      <c r="A7" s="5" t="inlineStr">
        <is>
          <t>C4</t>
        </is>
      </c>
      <c r="B7" s="11">
        <f>1/E4</f>
        <v/>
      </c>
      <c r="C7" s="11">
        <f>1/E5</f>
        <v/>
      </c>
      <c r="D7" s="11">
        <f>1/E6</f>
        <v/>
      </c>
      <c r="E7" s="7" t="n">
        <v>1</v>
      </c>
      <c r="F7" s="8" t="n">
        <v>1</v>
      </c>
      <c r="G7" s="8" t="n">
        <v>1</v>
      </c>
      <c r="H7" s="8" t="n">
        <v>1</v>
      </c>
      <c r="I7" s="8" t="n">
        <v>1</v>
      </c>
      <c r="K7" s="9">
        <f>GEOMEAN(B7:I7)</f>
        <v/>
      </c>
      <c r="L7" s="10">
        <f>K7/SUM(K$4:K$11)</f>
        <v/>
      </c>
      <c r="M7" s="9">
        <f>SUMPRODUCT(B7:I7,L$4:L$11)/L7</f>
        <v/>
      </c>
    </row>
    <row r="8">
      <c r="A8" s="5" t="inlineStr">
        <is>
          <t>C5</t>
        </is>
      </c>
      <c r="B8" s="11">
        <f>1/F4</f>
        <v/>
      </c>
      <c r="C8" s="11">
        <f>1/F5</f>
        <v/>
      </c>
      <c r="D8" s="11">
        <f>1/F6</f>
        <v/>
      </c>
      <c r="E8" s="11">
        <f>1/F7</f>
        <v/>
      </c>
      <c r="F8" s="7" t="n">
        <v>1</v>
      </c>
      <c r="G8" s="8" t="n">
        <v>1</v>
      </c>
      <c r="H8" s="8" t="n">
        <v>1</v>
      </c>
      <c r="I8" s="8" t="n">
        <v>1</v>
      </c>
      <c r="K8" s="9">
        <f>GEOMEAN(B8:I8)</f>
        <v/>
      </c>
      <c r="L8" s="10">
        <f>K8/SUM(K$4:K$11)</f>
        <v/>
      </c>
      <c r="M8" s="9">
        <f>SUMPRODUCT(B8:I8,L$4:L$11)/L8</f>
        <v/>
      </c>
    </row>
    <row r="9">
      <c r="A9" s="5" t="inlineStr">
        <is>
          <t>C6</t>
        </is>
      </c>
      <c r="B9" s="11">
        <f>1/G4</f>
        <v/>
      </c>
      <c r="C9" s="11">
        <f>1/G5</f>
        <v/>
      </c>
      <c r="D9" s="11">
        <f>1/G6</f>
        <v/>
      </c>
      <c r="E9" s="11">
        <f>1/G7</f>
        <v/>
      </c>
      <c r="F9" s="11">
        <f>1/G8</f>
        <v/>
      </c>
      <c r="G9" s="7" t="n">
        <v>1</v>
      </c>
      <c r="H9" s="8" t="n">
        <v>1</v>
      </c>
      <c r="I9" s="8" t="n">
        <v>1</v>
      </c>
      <c r="K9" s="9">
        <f>GEOMEAN(B9:I9)</f>
        <v/>
      </c>
      <c r="L9" s="10">
        <f>K9/SUM(K$4:K$11)</f>
        <v/>
      </c>
      <c r="M9" s="9">
        <f>SUMPRODUCT(B9:I9,L$4:L$11)/L9</f>
        <v/>
      </c>
    </row>
    <row r="10">
      <c r="A10" s="5" t="inlineStr">
        <is>
          <t>C7</t>
        </is>
      </c>
      <c r="B10" s="11">
        <f>1/H4</f>
        <v/>
      </c>
      <c r="C10" s="11">
        <f>1/H5</f>
        <v/>
      </c>
      <c r="D10" s="11">
        <f>1/H6</f>
        <v/>
      </c>
      <c r="E10" s="11">
        <f>1/H7</f>
        <v/>
      </c>
      <c r="F10" s="11">
        <f>1/H8</f>
        <v/>
      </c>
      <c r="G10" s="11">
        <f>1/H9</f>
        <v/>
      </c>
      <c r="H10" s="7" t="n">
        <v>1</v>
      </c>
      <c r="I10" s="8" t="n">
        <v>1</v>
      </c>
      <c r="K10" s="9">
        <f>GEOMEAN(B10:I10)</f>
        <v/>
      </c>
      <c r="L10" s="10">
        <f>K10/SUM(K$4:K$11)</f>
        <v/>
      </c>
      <c r="M10" s="9">
        <f>SUMPRODUCT(B10:I10,L$4:L$11)/L10</f>
        <v/>
      </c>
    </row>
    <row r="11">
      <c r="A11" s="5" t="inlineStr">
        <is>
          <t>C8</t>
        </is>
      </c>
      <c r="B11" s="11">
        <f>1/I4</f>
        <v/>
      </c>
      <c r="C11" s="11">
        <f>1/I5</f>
        <v/>
      </c>
      <c r="D11" s="11">
        <f>1/I6</f>
        <v/>
      </c>
      <c r="E11" s="11">
        <f>1/I7</f>
        <v/>
      </c>
      <c r="F11" s="11">
        <f>1/I8</f>
        <v/>
      </c>
      <c r="G11" s="11">
        <f>1/I9</f>
        <v/>
      </c>
      <c r="H11" s="11">
        <f>1/I10</f>
        <v/>
      </c>
      <c r="I11" s="7" t="n">
        <v>1</v>
      </c>
      <c r="K11" s="9">
        <f>GEOMEAN(B11:I11)</f>
        <v/>
      </c>
      <c r="L11" s="10">
        <f>K11/SUM(K$4:K$11)</f>
        <v/>
      </c>
      <c r="M11" s="9">
        <f>SUMPRODUCT(B11:I11,L$4:L$11)/L11</f>
        <v/>
      </c>
    </row>
    <row r="13">
      <c r="K13" s="1" t="inlineStr">
        <is>
          <t>λmax</t>
        </is>
      </c>
      <c r="L13" s="9">
        <f>AVERAGE(M4:M11)</f>
        <v/>
      </c>
    </row>
    <row r="14">
      <c r="K14" s="1" t="inlineStr">
        <is>
          <t>CI</t>
        </is>
      </c>
      <c r="L14" s="9">
        <f>(L13-8)/(8-1)</f>
        <v/>
      </c>
    </row>
    <row r="15">
      <c r="K15" s="1" t="inlineStr">
        <is>
          <t>CR</t>
        </is>
      </c>
      <c r="L15" s="12">
        <f>L14/1.41</f>
        <v/>
      </c>
    </row>
    <row r="16">
      <c r="K16" s="13" t="inlineStr">
        <is>
          <t>Đạt khi CR ≤ 0.1</t>
        </is>
      </c>
    </row>
  </sheetData>
  <conditionalFormatting sqref="L15">
    <cfRule type="cellIs" priority="1" operator="greaterThan" dxfId="0">
      <formula>0.1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ChuyenGia4 - chỉ điền các ô MÀU VÀNG</t>
        </is>
      </c>
    </row>
    <row r="3">
      <c r="B3" s="5" t="inlineStr">
        <is>
          <t>C1</t>
        </is>
      </c>
      <c r="C3" s="5" t="inlineStr">
        <is>
          <t>C2</t>
        </is>
      </c>
      <c r="D3" s="5" t="inlineStr">
        <is>
          <t>C3</t>
        </is>
      </c>
      <c r="E3" s="5" t="inlineStr">
        <is>
          <t>C4</t>
        </is>
      </c>
      <c r="F3" s="5" t="inlineStr">
        <is>
          <t>C5</t>
        </is>
      </c>
      <c r="G3" s="5" t="inlineStr">
        <is>
          <t>C6</t>
        </is>
      </c>
      <c r="H3" s="5" t="inlineStr">
        <is>
          <t>C7</t>
        </is>
      </c>
      <c r="I3" s="5" t="inlineStr">
        <is>
          <t>C8</t>
        </is>
      </c>
      <c r="K3" s="6" t="inlineStr">
        <is>
          <t>GM hàng</t>
        </is>
      </c>
      <c r="L3" s="6" t="inlineStr">
        <is>
          <t>Trọng số</t>
        </is>
      </c>
      <c r="M3" s="6" t="inlineStr">
        <is>
          <t>λ_i</t>
        </is>
      </c>
    </row>
    <row r="4">
      <c r="A4" s="5" t="inlineStr">
        <is>
          <t>C1</t>
        </is>
      </c>
      <c r="B4" s="7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K4" s="9">
        <f>GEOMEAN(B4:I4)</f>
        <v/>
      </c>
      <c r="L4" s="10">
        <f>K4/SUM(K$4:K$11)</f>
        <v/>
      </c>
      <c r="M4" s="9">
        <f>SUMPRODUCT(B4:I4,L$4:L$11)/L4</f>
        <v/>
      </c>
    </row>
    <row r="5">
      <c r="A5" s="5" t="inlineStr">
        <is>
          <t>C2</t>
        </is>
      </c>
      <c r="B5" s="11">
        <f>1/C4</f>
        <v/>
      </c>
      <c r="C5" s="7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K5" s="9">
        <f>GEOMEAN(B5:I5)</f>
        <v/>
      </c>
      <c r="L5" s="10">
        <f>K5/SUM(K$4:K$11)</f>
        <v/>
      </c>
      <c r="M5" s="9">
        <f>SUMPRODUCT(B5:I5,L$4:L$11)/L5</f>
        <v/>
      </c>
    </row>
    <row r="6">
      <c r="A6" s="5" t="inlineStr">
        <is>
          <t>C3</t>
        </is>
      </c>
      <c r="B6" s="11">
        <f>1/D4</f>
        <v/>
      </c>
      <c r="C6" s="11">
        <f>1/D5</f>
        <v/>
      </c>
      <c r="D6" s="7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K6" s="9">
        <f>GEOMEAN(B6:I6)</f>
        <v/>
      </c>
      <c r="L6" s="10">
        <f>K6/SUM(K$4:K$11)</f>
        <v/>
      </c>
      <c r="M6" s="9">
        <f>SUMPRODUCT(B6:I6,L$4:L$11)/L6</f>
        <v/>
      </c>
    </row>
    <row r="7">
      <c r="A7" s="5" t="inlineStr">
        <is>
          <t>C4</t>
        </is>
      </c>
      <c r="B7" s="11">
        <f>1/E4</f>
        <v/>
      </c>
      <c r="C7" s="11">
        <f>1/E5</f>
        <v/>
      </c>
      <c r="D7" s="11">
        <f>1/E6</f>
        <v/>
      </c>
      <c r="E7" s="7" t="n">
        <v>1</v>
      </c>
      <c r="F7" s="8" t="n">
        <v>1</v>
      </c>
      <c r="G7" s="8" t="n">
        <v>1</v>
      </c>
      <c r="H7" s="8" t="n">
        <v>1</v>
      </c>
      <c r="I7" s="8" t="n">
        <v>1</v>
      </c>
      <c r="K7" s="9">
        <f>GEOMEAN(B7:I7)</f>
        <v/>
      </c>
      <c r="L7" s="10">
        <f>K7/SUM(K$4:K$11)</f>
        <v/>
      </c>
      <c r="M7" s="9">
        <f>SUMPRODUCT(B7:I7,L$4:L$11)/L7</f>
        <v/>
      </c>
    </row>
    <row r="8">
      <c r="A8" s="5" t="inlineStr">
        <is>
          <t>C5</t>
        </is>
      </c>
      <c r="B8" s="11">
        <f>1/F4</f>
        <v/>
      </c>
      <c r="C8" s="11">
        <f>1/F5</f>
        <v/>
      </c>
      <c r="D8" s="11">
        <f>1/F6</f>
        <v/>
      </c>
      <c r="E8" s="11">
        <f>1/F7</f>
        <v/>
      </c>
      <c r="F8" s="7" t="n">
        <v>1</v>
      </c>
      <c r="G8" s="8" t="n">
        <v>1</v>
      </c>
      <c r="H8" s="8" t="n">
        <v>1</v>
      </c>
      <c r="I8" s="8" t="n">
        <v>1</v>
      </c>
      <c r="K8" s="9">
        <f>GEOMEAN(B8:I8)</f>
        <v/>
      </c>
      <c r="L8" s="10">
        <f>K8/SUM(K$4:K$11)</f>
        <v/>
      </c>
      <c r="M8" s="9">
        <f>SUMPRODUCT(B8:I8,L$4:L$11)/L8</f>
        <v/>
      </c>
    </row>
    <row r="9">
      <c r="A9" s="5" t="inlineStr">
        <is>
          <t>C6</t>
        </is>
      </c>
      <c r="B9" s="11">
        <f>1/G4</f>
        <v/>
      </c>
      <c r="C9" s="11">
        <f>1/G5</f>
        <v/>
      </c>
      <c r="D9" s="11">
        <f>1/G6</f>
        <v/>
      </c>
      <c r="E9" s="11">
        <f>1/G7</f>
        <v/>
      </c>
      <c r="F9" s="11">
        <f>1/G8</f>
        <v/>
      </c>
      <c r="G9" s="7" t="n">
        <v>1</v>
      </c>
      <c r="H9" s="8" t="n">
        <v>1</v>
      </c>
      <c r="I9" s="8" t="n">
        <v>1</v>
      </c>
      <c r="K9" s="9">
        <f>GEOMEAN(B9:I9)</f>
        <v/>
      </c>
      <c r="L9" s="10">
        <f>K9/SUM(K$4:K$11)</f>
        <v/>
      </c>
      <c r="M9" s="9">
        <f>SUMPRODUCT(B9:I9,L$4:L$11)/L9</f>
        <v/>
      </c>
    </row>
    <row r="10">
      <c r="A10" s="5" t="inlineStr">
        <is>
          <t>C7</t>
        </is>
      </c>
      <c r="B10" s="11">
        <f>1/H4</f>
        <v/>
      </c>
      <c r="C10" s="11">
        <f>1/H5</f>
        <v/>
      </c>
      <c r="D10" s="11">
        <f>1/H6</f>
        <v/>
      </c>
      <c r="E10" s="11">
        <f>1/H7</f>
        <v/>
      </c>
      <c r="F10" s="11">
        <f>1/H8</f>
        <v/>
      </c>
      <c r="G10" s="11">
        <f>1/H9</f>
        <v/>
      </c>
      <c r="H10" s="7" t="n">
        <v>1</v>
      </c>
      <c r="I10" s="8" t="n">
        <v>1</v>
      </c>
      <c r="K10" s="9">
        <f>GEOMEAN(B10:I10)</f>
        <v/>
      </c>
      <c r="L10" s="10">
        <f>K10/SUM(K$4:K$11)</f>
        <v/>
      </c>
      <c r="M10" s="9">
        <f>SUMPRODUCT(B10:I10,L$4:L$11)/L10</f>
        <v/>
      </c>
    </row>
    <row r="11">
      <c r="A11" s="5" t="inlineStr">
        <is>
          <t>C8</t>
        </is>
      </c>
      <c r="B11" s="11">
        <f>1/I4</f>
        <v/>
      </c>
      <c r="C11" s="11">
        <f>1/I5</f>
        <v/>
      </c>
      <c r="D11" s="11">
        <f>1/I6</f>
        <v/>
      </c>
      <c r="E11" s="11">
        <f>1/I7</f>
        <v/>
      </c>
      <c r="F11" s="11">
        <f>1/I8</f>
        <v/>
      </c>
      <c r="G11" s="11">
        <f>1/I9</f>
        <v/>
      </c>
      <c r="H11" s="11">
        <f>1/I10</f>
        <v/>
      </c>
      <c r="I11" s="7" t="n">
        <v>1</v>
      </c>
      <c r="K11" s="9">
        <f>GEOMEAN(B11:I11)</f>
        <v/>
      </c>
      <c r="L11" s="10">
        <f>K11/SUM(K$4:K$11)</f>
        <v/>
      </c>
      <c r="M11" s="9">
        <f>SUMPRODUCT(B11:I11,L$4:L$11)/L11</f>
        <v/>
      </c>
    </row>
    <row r="13">
      <c r="K13" s="1" t="inlineStr">
        <is>
          <t>λmax</t>
        </is>
      </c>
      <c r="L13" s="9">
        <f>AVERAGE(M4:M11)</f>
        <v/>
      </c>
    </row>
    <row r="14">
      <c r="K14" s="1" t="inlineStr">
        <is>
          <t>CI</t>
        </is>
      </c>
      <c r="L14" s="9">
        <f>(L13-8)/(8-1)</f>
        <v/>
      </c>
    </row>
    <row r="15">
      <c r="K15" s="1" t="inlineStr">
        <is>
          <t>CR</t>
        </is>
      </c>
      <c r="L15" s="12">
        <f>L14/1.41</f>
        <v/>
      </c>
    </row>
    <row r="16">
      <c r="K16" s="13" t="inlineStr">
        <is>
          <t>Đạt khi CR ≤ 0.1</t>
        </is>
      </c>
    </row>
  </sheetData>
  <conditionalFormatting sqref="L15">
    <cfRule type="cellIs" priority="1" operator="greaterThan" dxfId="0">
      <formula>0.1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ChuyenGia5 - chỉ điền các ô MÀU VÀNG</t>
        </is>
      </c>
    </row>
    <row r="3">
      <c r="B3" s="5" t="inlineStr">
        <is>
          <t>C1</t>
        </is>
      </c>
      <c r="C3" s="5" t="inlineStr">
        <is>
          <t>C2</t>
        </is>
      </c>
      <c r="D3" s="5" t="inlineStr">
        <is>
          <t>C3</t>
        </is>
      </c>
      <c r="E3" s="5" t="inlineStr">
        <is>
          <t>C4</t>
        </is>
      </c>
      <c r="F3" s="5" t="inlineStr">
        <is>
          <t>C5</t>
        </is>
      </c>
      <c r="G3" s="5" t="inlineStr">
        <is>
          <t>C6</t>
        </is>
      </c>
      <c r="H3" s="5" t="inlineStr">
        <is>
          <t>C7</t>
        </is>
      </c>
      <c r="I3" s="5" t="inlineStr">
        <is>
          <t>C8</t>
        </is>
      </c>
      <c r="K3" s="6" t="inlineStr">
        <is>
          <t>GM hàng</t>
        </is>
      </c>
      <c r="L3" s="6" t="inlineStr">
        <is>
          <t>Trọng số</t>
        </is>
      </c>
      <c r="M3" s="6" t="inlineStr">
        <is>
          <t>λ_i</t>
        </is>
      </c>
    </row>
    <row r="4">
      <c r="A4" s="5" t="inlineStr">
        <is>
          <t>C1</t>
        </is>
      </c>
      <c r="B4" s="7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K4" s="9">
        <f>GEOMEAN(B4:I4)</f>
        <v/>
      </c>
      <c r="L4" s="10">
        <f>K4/SUM(K$4:K$11)</f>
        <v/>
      </c>
      <c r="M4" s="9">
        <f>SUMPRODUCT(B4:I4,L$4:L$11)/L4</f>
        <v/>
      </c>
    </row>
    <row r="5">
      <c r="A5" s="5" t="inlineStr">
        <is>
          <t>C2</t>
        </is>
      </c>
      <c r="B5" s="11">
        <f>1/C4</f>
        <v/>
      </c>
      <c r="C5" s="7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K5" s="9">
        <f>GEOMEAN(B5:I5)</f>
        <v/>
      </c>
      <c r="L5" s="10">
        <f>K5/SUM(K$4:K$11)</f>
        <v/>
      </c>
      <c r="M5" s="9">
        <f>SUMPRODUCT(B5:I5,L$4:L$11)/L5</f>
        <v/>
      </c>
    </row>
    <row r="6">
      <c r="A6" s="5" t="inlineStr">
        <is>
          <t>C3</t>
        </is>
      </c>
      <c r="B6" s="11">
        <f>1/D4</f>
        <v/>
      </c>
      <c r="C6" s="11">
        <f>1/D5</f>
        <v/>
      </c>
      <c r="D6" s="7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K6" s="9">
        <f>GEOMEAN(B6:I6)</f>
        <v/>
      </c>
      <c r="L6" s="10">
        <f>K6/SUM(K$4:K$11)</f>
        <v/>
      </c>
      <c r="M6" s="9">
        <f>SUMPRODUCT(B6:I6,L$4:L$11)/L6</f>
        <v/>
      </c>
    </row>
    <row r="7">
      <c r="A7" s="5" t="inlineStr">
        <is>
          <t>C4</t>
        </is>
      </c>
      <c r="B7" s="11">
        <f>1/E4</f>
        <v/>
      </c>
      <c r="C7" s="11">
        <f>1/E5</f>
        <v/>
      </c>
      <c r="D7" s="11">
        <f>1/E6</f>
        <v/>
      </c>
      <c r="E7" s="7" t="n">
        <v>1</v>
      </c>
      <c r="F7" s="8" t="n">
        <v>1</v>
      </c>
      <c r="G7" s="8" t="n">
        <v>1</v>
      </c>
      <c r="H7" s="8" t="n">
        <v>1</v>
      </c>
      <c r="I7" s="8" t="n">
        <v>1</v>
      </c>
      <c r="K7" s="9">
        <f>GEOMEAN(B7:I7)</f>
        <v/>
      </c>
      <c r="L7" s="10">
        <f>K7/SUM(K$4:K$11)</f>
        <v/>
      </c>
      <c r="M7" s="9">
        <f>SUMPRODUCT(B7:I7,L$4:L$11)/L7</f>
        <v/>
      </c>
    </row>
    <row r="8">
      <c r="A8" s="5" t="inlineStr">
        <is>
          <t>C5</t>
        </is>
      </c>
      <c r="B8" s="11">
        <f>1/F4</f>
        <v/>
      </c>
      <c r="C8" s="11">
        <f>1/F5</f>
        <v/>
      </c>
      <c r="D8" s="11">
        <f>1/F6</f>
        <v/>
      </c>
      <c r="E8" s="11">
        <f>1/F7</f>
        <v/>
      </c>
      <c r="F8" s="7" t="n">
        <v>1</v>
      </c>
      <c r="G8" s="8" t="n">
        <v>1</v>
      </c>
      <c r="H8" s="8" t="n">
        <v>1</v>
      </c>
      <c r="I8" s="8" t="n">
        <v>1</v>
      </c>
      <c r="K8" s="9">
        <f>GEOMEAN(B8:I8)</f>
        <v/>
      </c>
      <c r="L8" s="10">
        <f>K8/SUM(K$4:K$11)</f>
        <v/>
      </c>
      <c r="M8" s="9">
        <f>SUMPRODUCT(B8:I8,L$4:L$11)/L8</f>
        <v/>
      </c>
    </row>
    <row r="9">
      <c r="A9" s="5" t="inlineStr">
        <is>
          <t>C6</t>
        </is>
      </c>
      <c r="B9" s="11">
        <f>1/G4</f>
        <v/>
      </c>
      <c r="C9" s="11">
        <f>1/G5</f>
        <v/>
      </c>
      <c r="D9" s="11">
        <f>1/G6</f>
        <v/>
      </c>
      <c r="E9" s="11">
        <f>1/G7</f>
        <v/>
      </c>
      <c r="F9" s="11">
        <f>1/G8</f>
        <v/>
      </c>
      <c r="G9" s="7" t="n">
        <v>1</v>
      </c>
      <c r="H9" s="8" t="n">
        <v>1</v>
      </c>
      <c r="I9" s="8" t="n">
        <v>1</v>
      </c>
      <c r="K9" s="9">
        <f>GEOMEAN(B9:I9)</f>
        <v/>
      </c>
      <c r="L9" s="10">
        <f>K9/SUM(K$4:K$11)</f>
        <v/>
      </c>
      <c r="M9" s="9">
        <f>SUMPRODUCT(B9:I9,L$4:L$11)/L9</f>
        <v/>
      </c>
    </row>
    <row r="10">
      <c r="A10" s="5" t="inlineStr">
        <is>
          <t>C7</t>
        </is>
      </c>
      <c r="B10" s="11">
        <f>1/H4</f>
        <v/>
      </c>
      <c r="C10" s="11">
        <f>1/H5</f>
        <v/>
      </c>
      <c r="D10" s="11">
        <f>1/H6</f>
        <v/>
      </c>
      <c r="E10" s="11">
        <f>1/H7</f>
        <v/>
      </c>
      <c r="F10" s="11">
        <f>1/H8</f>
        <v/>
      </c>
      <c r="G10" s="11">
        <f>1/H9</f>
        <v/>
      </c>
      <c r="H10" s="7" t="n">
        <v>1</v>
      </c>
      <c r="I10" s="8" t="n">
        <v>1</v>
      </c>
      <c r="K10" s="9">
        <f>GEOMEAN(B10:I10)</f>
        <v/>
      </c>
      <c r="L10" s="10">
        <f>K10/SUM(K$4:K$11)</f>
        <v/>
      </c>
      <c r="M10" s="9">
        <f>SUMPRODUCT(B10:I10,L$4:L$11)/L10</f>
        <v/>
      </c>
    </row>
    <row r="11">
      <c r="A11" s="5" t="inlineStr">
        <is>
          <t>C8</t>
        </is>
      </c>
      <c r="B11" s="11">
        <f>1/I4</f>
        <v/>
      </c>
      <c r="C11" s="11">
        <f>1/I5</f>
        <v/>
      </c>
      <c r="D11" s="11">
        <f>1/I6</f>
        <v/>
      </c>
      <c r="E11" s="11">
        <f>1/I7</f>
        <v/>
      </c>
      <c r="F11" s="11">
        <f>1/I8</f>
        <v/>
      </c>
      <c r="G11" s="11">
        <f>1/I9</f>
        <v/>
      </c>
      <c r="H11" s="11">
        <f>1/I10</f>
        <v/>
      </c>
      <c r="I11" s="7" t="n">
        <v>1</v>
      </c>
      <c r="K11" s="9">
        <f>GEOMEAN(B11:I11)</f>
        <v/>
      </c>
      <c r="L11" s="10">
        <f>K11/SUM(K$4:K$11)</f>
        <v/>
      </c>
      <c r="M11" s="9">
        <f>SUMPRODUCT(B11:I11,L$4:L$11)/L11</f>
        <v/>
      </c>
    </row>
    <row r="13">
      <c r="K13" s="1" t="inlineStr">
        <is>
          <t>λmax</t>
        </is>
      </c>
      <c r="L13" s="9">
        <f>AVERAGE(M4:M11)</f>
        <v/>
      </c>
    </row>
    <row r="14">
      <c r="K14" s="1" t="inlineStr">
        <is>
          <t>CI</t>
        </is>
      </c>
      <c r="L14" s="9">
        <f>(L13-8)/(8-1)</f>
        <v/>
      </c>
    </row>
    <row r="15">
      <c r="K15" s="1" t="inlineStr">
        <is>
          <t>CR</t>
        </is>
      </c>
      <c r="L15" s="12">
        <f>L14/1.41</f>
        <v/>
      </c>
    </row>
    <row r="16">
      <c r="K16" s="13" t="inlineStr">
        <is>
          <t>Đạt khi CR ≤ 0.1</t>
        </is>
      </c>
    </row>
  </sheetData>
  <conditionalFormatting sqref="L15">
    <cfRule type="cellIs" priority="1" operator="greaterThan" dxfId="0">
      <formula>0.1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TongHop - chỉ điền các ô MÀU VÀNG</t>
        </is>
      </c>
    </row>
    <row r="2">
      <c r="A2" s="14" t="inlineStr">
        <is>
          <t>Ma trận tổng hợp = geometric mean 5 chuyên gia. Trọng số cột màu xanh là KẾT QUẢ CUỐI dùng cho TOPSIS.</t>
        </is>
      </c>
    </row>
    <row r="3">
      <c r="B3" s="5" t="inlineStr">
        <is>
          <t>C1</t>
        </is>
      </c>
      <c r="C3" s="5" t="inlineStr">
        <is>
          <t>C2</t>
        </is>
      </c>
      <c r="D3" s="5" t="inlineStr">
        <is>
          <t>C3</t>
        </is>
      </c>
      <c r="E3" s="5" t="inlineStr">
        <is>
          <t>C4</t>
        </is>
      </c>
      <c r="F3" s="5" t="inlineStr">
        <is>
          <t>C5</t>
        </is>
      </c>
      <c r="G3" s="5" t="inlineStr">
        <is>
          <t>C6</t>
        </is>
      </c>
      <c r="H3" s="5" t="inlineStr">
        <is>
          <t>C7</t>
        </is>
      </c>
      <c r="I3" s="5" t="inlineStr">
        <is>
          <t>C8</t>
        </is>
      </c>
      <c r="K3" s="6" t="inlineStr">
        <is>
          <t>GM hàng</t>
        </is>
      </c>
      <c r="L3" s="6" t="inlineStr">
        <is>
          <t>Trọng số</t>
        </is>
      </c>
      <c r="M3" s="6" t="inlineStr">
        <is>
          <t>λ_i</t>
        </is>
      </c>
    </row>
    <row r="4">
      <c r="A4" s="5" t="inlineStr">
        <is>
          <t>C1</t>
        </is>
      </c>
      <c r="B4" s="7" t="n">
        <v>1</v>
      </c>
      <c r="C4" s="11">
        <f>GEOMEAN(ChuyenGia1!C4,ChuyenGia2!C4,ChuyenGia3!C4,ChuyenGia4!C4,ChuyenGia5!C4)</f>
        <v/>
      </c>
      <c r="D4" s="11">
        <f>GEOMEAN(ChuyenGia1!D4,ChuyenGia2!D4,ChuyenGia3!D4,ChuyenGia4!D4,ChuyenGia5!D4)</f>
        <v/>
      </c>
      <c r="E4" s="11">
        <f>GEOMEAN(ChuyenGia1!E4,ChuyenGia2!E4,ChuyenGia3!E4,ChuyenGia4!E4,ChuyenGia5!E4)</f>
        <v/>
      </c>
      <c r="F4" s="11">
        <f>GEOMEAN(ChuyenGia1!F4,ChuyenGia2!F4,ChuyenGia3!F4,ChuyenGia4!F4,ChuyenGia5!F4)</f>
        <v/>
      </c>
      <c r="G4" s="11">
        <f>GEOMEAN(ChuyenGia1!G4,ChuyenGia2!G4,ChuyenGia3!G4,ChuyenGia4!G4,ChuyenGia5!G4)</f>
        <v/>
      </c>
      <c r="H4" s="11">
        <f>GEOMEAN(ChuyenGia1!H4,ChuyenGia2!H4,ChuyenGia3!H4,ChuyenGia4!H4,ChuyenGia5!H4)</f>
        <v/>
      </c>
      <c r="I4" s="11">
        <f>GEOMEAN(ChuyenGia1!I4,ChuyenGia2!I4,ChuyenGia3!I4,ChuyenGia4!I4,ChuyenGia5!I4)</f>
        <v/>
      </c>
      <c r="K4" s="9">
        <f>GEOMEAN(B4:I4)</f>
        <v/>
      </c>
      <c r="L4" s="10">
        <f>K4/SUM(K$4:K$11)</f>
        <v/>
      </c>
      <c r="M4" s="9">
        <f>SUMPRODUCT(B4:I4,L$4:L$11)/L4</f>
        <v/>
      </c>
    </row>
    <row r="5">
      <c r="A5" s="5" t="inlineStr">
        <is>
          <t>C2</t>
        </is>
      </c>
      <c r="B5" s="11">
        <f>1/C4</f>
        <v/>
      </c>
      <c r="C5" s="7" t="n">
        <v>1</v>
      </c>
      <c r="D5" s="11">
        <f>GEOMEAN(ChuyenGia1!D5,ChuyenGia2!D5,ChuyenGia3!D5,ChuyenGia4!D5,ChuyenGia5!D5)</f>
        <v/>
      </c>
      <c r="E5" s="11">
        <f>GEOMEAN(ChuyenGia1!E5,ChuyenGia2!E5,ChuyenGia3!E5,ChuyenGia4!E5,ChuyenGia5!E5)</f>
        <v/>
      </c>
      <c r="F5" s="11">
        <f>GEOMEAN(ChuyenGia1!F5,ChuyenGia2!F5,ChuyenGia3!F5,ChuyenGia4!F5,ChuyenGia5!F5)</f>
        <v/>
      </c>
      <c r="G5" s="11">
        <f>GEOMEAN(ChuyenGia1!G5,ChuyenGia2!G5,ChuyenGia3!G5,ChuyenGia4!G5,ChuyenGia5!G5)</f>
        <v/>
      </c>
      <c r="H5" s="11">
        <f>GEOMEAN(ChuyenGia1!H5,ChuyenGia2!H5,ChuyenGia3!H5,ChuyenGia4!H5,ChuyenGia5!H5)</f>
        <v/>
      </c>
      <c r="I5" s="11">
        <f>GEOMEAN(ChuyenGia1!I5,ChuyenGia2!I5,ChuyenGia3!I5,ChuyenGia4!I5,ChuyenGia5!I5)</f>
        <v/>
      </c>
      <c r="K5" s="9">
        <f>GEOMEAN(B5:I5)</f>
        <v/>
      </c>
      <c r="L5" s="10">
        <f>K5/SUM(K$4:K$11)</f>
        <v/>
      </c>
      <c r="M5" s="9">
        <f>SUMPRODUCT(B5:I5,L$4:L$11)/L5</f>
        <v/>
      </c>
    </row>
    <row r="6">
      <c r="A6" s="5" t="inlineStr">
        <is>
          <t>C3</t>
        </is>
      </c>
      <c r="B6" s="11">
        <f>1/D4</f>
        <v/>
      </c>
      <c r="C6" s="11">
        <f>1/D5</f>
        <v/>
      </c>
      <c r="D6" s="7" t="n">
        <v>1</v>
      </c>
      <c r="E6" s="11">
        <f>GEOMEAN(ChuyenGia1!E6,ChuyenGia2!E6,ChuyenGia3!E6,ChuyenGia4!E6,ChuyenGia5!E6)</f>
        <v/>
      </c>
      <c r="F6" s="11">
        <f>GEOMEAN(ChuyenGia1!F6,ChuyenGia2!F6,ChuyenGia3!F6,ChuyenGia4!F6,ChuyenGia5!F6)</f>
        <v/>
      </c>
      <c r="G6" s="11">
        <f>GEOMEAN(ChuyenGia1!G6,ChuyenGia2!G6,ChuyenGia3!G6,ChuyenGia4!G6,ChuyenGia5!G6)</f>
        <v/>
      </c>
      <c r="H6" s="11">
        <f>GEOMEAN(ChuyenGia1!H6,ChuyenGia2!H6,ChuyenGia3!H6,ChuyenGia4!H6,ChuyenGia5!H6)</f>
        <v/>
      </c>
      <c r="I6" s="11">
        <f>GEOMEAN(ChuyenGia1!I6,ChuyenGia2!I6,ChuyenGia3!I6,ChuyenGia4!I6,ChuyenGia5!I6)</f>
        <v/>
      </c>
      <c r="K6" s="9">
        <f>GEOMEAN(B6:I6)</f>
        <v/>
      </c>
      <c r="L6" s="10">
        <f>K6/SUM(K$4:K$11)</f>
        <v/>
      </c>
      <c r="M6" s="9">
        <f>SUMPRODUCT(B6:I6,L$4:L$11)/L6</f>
        <v/>
      </c>
    </row>
    <row r="7">
      <c r="A7" s="5" t="inlineStr">
        <is>
          <t>C4</t>
        </is>
      </c>
      <c r="B7" s="11">
        <f>1/E4</f>
        <v/>
      </c>
      <c r="C7" s="11">
        <f>1/E5</f>
        <v/>
      </c>
      <c r="D7" s="11">
        <f>1/E6</f>
        <v/>
      </c>
      <c r="E7" s="7" t="n">
        <v>1</v>
      </c>
      <c r="F7" s="11">
        <f>GEOMEAN(ChuyenGia1!F7,ChuyenGia2!F7,ChuyenGia3!F7,ChuyenGia4!F7,ChuyenGia5!F7)</f>
        <v/>
      </c>
      <c r="G7" s="11">
        <f>GEOMEAN(ChuyenGia1!G7,ChuyenGia2!G7,ChuyenGia3!G7,ChuyenGia4!G7,ChuyenGia5!G7)</f>
        <v/>
      </c>
      <c r="H7" s="11">
        <f>GEOMEAN(ChuyenGia1!H7,ChuyenGia2!H7,ChuyenGia3!H7,ChuyenGia4!H7,ChuyenGia5!H7)</f>
        <v/>
      </c>
      <c r="I7" s="11">
        <f>GEOMEAN(ChuyenGia1!I7,ChuyenGia2!I7,ChuyenGia3!I7,ChuyenGia4!I7,ChuyenGia5!I7)</f>
        <v/>
      </c>
      <c r="K7" s="9">
        <f>GEOMEAN(B7:I7)</f>
        <v/>
      </c>
      <c r="L7" s="10">
        <f>K7/SUM(K$4:K$11)</f>
        <v/>
      </c>
      <c r="M7" s="9">
        <f>SUMPRODUCT(B7:I7,L$4:L$11)/L7</f>
        <v/>
      </c>
    </row>
    <row r="8">
      <c r="A8" s="5" t="inlineStr">
        <is>
          <t>C5</t>
        </is>
      </c>
      <c r="B8" s="11">
        <f>1/F4</f>
        <v/>
      </c>
      <c r="C8" s="11">
        <f>1/F5</f>
        <v/>
      </c>
      <c r="D8" s="11">
        <f>1/F6</f>
        <v/>
      </c>
      <c r="E8" s="11">
        <f>1/F7</f>
        <v/>
      </c>
      <c r="F8" s="7" t="n">
        <v>1</v>
      </c>
      <c r="G8" s="11">
        <f>GEOMEAN(ChuyenGia1!G8,ChuyenGia2!G8,ChuyenGia3!G8,ChuyenGia4!G8,ChuyenGia5!G8)</f>
        <v/>
      </c>
      <c r="H8" s="11">
        <f>GEOMEAN(ChuyenGia1!H8,ChuyenGia2!H8,ChuyenGia3!H8,ChuyenGia4!H8,ChuyenGia5!H8)</f>
        <v/>
      </c>
      <c r="I8" s="11">
        <f>GEOMEAN(ChuyenGia1!I8,ChuyenGia2!I8,ChuyenGia3!I8,ChuyenGia4!I8,ChuyenGia5!I8)</f>
        <v/>
      </c>
      <c r="K8" s="9">
        <f>GEOMEAN(B8:I8)</f>
        <v/>
      </c>
      <c r="L8" s="10">
        <f>K8/SUM(K$4:K$11)</f>
        <v/>
      </c>
      <c r="M8" s="9">
        <f>SUMPRODUCT(B8:I8,L$4:L$11)/L8</f>
        <v/>
      </c>
    </row>
    <row r="9">
      <c r="A9" s="5" t="inlineStr">
        <is>
          <t>C6</t>
        </is>
      </c>
      <c r="B9" s="11">
        <f>1/G4</f>
        <v/>
      </c>
      <c r="C9" s="11">
        <f>1/G5</f>
        <v/>
      </c>
      <c r="D9" s="11">
        <f>1/G6</f>
        <v/>
      </c>
      <c r="E9" s="11">
        <f>1/G7</f>
        <v/>
      </c>
      <c r="F9" s="11">
        <f>1/G8</f>
        <v/>
      </c>
      <c r="G9" s="7" t="n">
        <v>1</v>
      </c>
      <c r="H9" s="11">
        <f>GEOMEAN(ChuyenGia1!H9,ChuyenGia2!H9,ChuyenGia3!H9,ChuyenGia4!H9,ChuyenGia5!H9)</f>
        <v/>
      </c>
      <c r="I9" s="11">
        <f>GEOMEAN(ChuyenGia1!I9,ChuyenGia2!I9,ChuyenGia3!I9,ChuyenGia4!I9,ChuyenGia5!I9)</f>
        <v/>
      </c>
      <c r="K9" s="9">
        <f>GEOMEAN(B9:I9)</f>
        <v/>
      </c>
      <c r="L9" s="10">
        <f>K9/SUM(K$4:K$11)</f>
        <v/>
      </c>
      <c r="M9" s="9">
        <f>SUMPRODUCT(B9:I9,L$4:L$11)/L9</f>
        <v/>
      </c>
    </row>
    <row r="10">
      <c r="A10" s="5" t="inlineStr">
        <is>
          <t>C7</t>
        </is>
      </c>
      <c r="B10" s="11">
        <f>1/H4</f>
        <v/>
      </c>
      <c r="C10" s="11">
        <f>1/H5</f>
        <v/>
      </c>
      <c r="D10" s="11">
        <f>1/H6</f>
        <v/>
      </c>
      <c r="E10" s="11">
        <f>1/H7</f>
        <v/>
      </c>
      <c r="F10" s="11">
        <f>1/H8</f>
        <v/>
      </c>
      <c r="G10" s="11">
        <f>1/H9</f>
        <v/>
      </c>
      <c r="H10" s="7" t="n">
        <v>1</v>
      </c>
      <c r="I10" s="11">
        <f>GEOMEAN(ChuyenGia1!I10,ChuyenGia2!I10,ChuyenGia3!I10,ChuyenGia4!I10,ChuyenGia5!I10)</f>
        <v/>
      </c>
      <c r="K10" s="9">
        <f>GEOMEAN(B10:I10)</f>
        <v/>
      </c>
      <c r="L10" s="10">
        <f>K10/SUM(K$4:K$11)</f>
        <v/>
      </c>
      <c r="M10" s="9">
        <f>SUMPRODUCT(B10:I10,L$4:L$11)/L10</f>
        <v/>
      </c>
    </row>
    <row r="11">
      <c r="A11" s="5" t="inlineStr">
        <is>
          <t>C8</t>
        </is>
      </c>
      <c r="B11" s="11">
        <f>1/I4</f>
        <v/>
      </c>
      <c r="C11" s="11">
        <f>1/I5</f>
        <v/>
      </c>
      <c r="D11" s="11">
        <f>1/I6</f>
        <v/>
      </c>
      <c r="E11" s="11">
        <f>1/I7</f>
        <v/>
      </c>
      <c r="F11" s="11">
        <f>1/I8</f>
        <v/>
      </c>
      <c r="G11" s="11">
        <f>1/I9</f>
        <v/>
      </c>
      <c r="H11" s="11">
        <f>1/I10</f>
        <v/>
      </c>
      <c r="I11" s="7" t="n">
        <v>1</v>
      </c>
      <c r="K11" s="9">
        <f>GEOMEAN(B11:I11)</f>
        <v/>
      </c>
      <c r="L11" s="10">
        <f>K11/SUM(K$4:K$11)</f>
        <v/>
      </c>
      <c r="M11" s="9">
        <f>SUMPRODUCT(B11:I11,L$4:L$11)/L11</f>
        <v/>
      </c>
    </row>
    <row r="13">
      <c r="K13" s="1" t="inlineStr">
        <is>
          <t>λmax</t>
        </is>
      </c>
      <c r="L13" s="9">
        <f>AVERAGE(M4:M11)</f>
        <v/>
      </c>
    </row>
    <row r="14">
      <c r="K14" s="1" t="inlineStr">
        <is>
          <t>CI</t>
        </is>
      </c>
      <c r="L14" s="9">
        <f>(L13-8)/(8-1)</f>
        <v/>
      </c>
    </row>
    <row r="15">
      <c r="K15" s="1" t="inlineStr">
        <is>
          <t>CR</t>
        </is>
      </c>
      <c r="L15" s="12">
        <f>L14/1.41</f>
        <v/>
      </c>
    </row>
    <row r="16">
      <c r="K16" s="13" t="inlineStr">
        <is>
          <t>Đạt khi CR ≤ 0.1</t>
        </is>
      </c>
    </row>
  </sheetData>
  <conditionalFormatting sqref="L15">
    <cfRule type="cellIs" priority="1" operator="greaterThan" dxfId="0">
      <formula>0.1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2026-07-04T11:36:48Z</dcterms:created>
  <dcterms:modified xsi:type="dcterms:W3CDTF">2026-07-04T11:36:48Z</dcterms:modified>
</cp:coreProperties>
</file>